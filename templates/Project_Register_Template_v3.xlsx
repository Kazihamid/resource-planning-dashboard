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roject Register" sheetId="2" state="visible" r:id="rId4"/>
    <sheet name="Data Check" sheetId="3" state="visible" r:id="rId5"/>
    <sheet name="Resources" sheetId="4" state="visible" r:id="rId6"/>
    <sheet name="Projects" sheetId="5" state="visible" r:id="rId7"/>
    <sheet name="Holidays_Leave" sheetId="6" state="visible" r:id="rId8"/>
    <sheet name="Lists" sheetId="7" state="visible" r:id="rId9"/>
  </sheets>
  <definedNames>
    <definedName function="false" hidden="true" localSheetId="1" name="_xlnm._FilterDatabase" vbProcedure="false">'Project Register'!$A$1:$R$500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Total man-days for the task, split evenly across all assigned resources.</t>
        </r>
      </text>
    </comment>
    <comment ref="N1" authorId="0">
      <text>
        <r>
          <rPr>
            <sz val="10"/>
            <rFont val="Arial"/>
            <family val="2"/>
          </rPr>
          <t xml:space="preserve">Leave as 'Auto'. The dashboard calculates allocation per resource.</t>
        </r>
      </text>
    </comment>
    <comment ref="P1" authorId="0">
      <text>
        <r>
          <rPr>
            <sz val="10"/>
            <rFont val="Arial"/>
            <family val="2"/>
          </rPr>
          <t xml:space="preserve">Optional. Delete this column if your dashboard version rejects extra columns.</t>
        </r>
      </text>
    </comment>
    <comment ref="Q1" authorId="0">
      <text>
        <r>
          <rPr>
            <sz val="10"/>
            <rFont val="Arial"/>
            <family val="2"/>
          </rPr>
          <t xml:space="preserve">Optional. Pick "Deployed in Live" to file the row under Deployed in Live on import. Other values are free text managed in the dashboard.</t>
        </r>
      </text>
    </comment>
    <comment ref="R1" authorId="0">
      <text>
        <r>
          <rPr>
            <sz val="10"/>
            <rFont val="Arial"/>
            <family val="2"/>
          </rPr>
          <t xml:space="preserve">Only used when Project Status is Deployed in Live. Blank = import date.</t>
        </r>
      </text>
    </comment>
  </commentList>
</comments>
</file>

<file path=xl/sharedStrings.xml><?xml version="1.0" encoding="utf-8"?>
<sst xmlns="http://schemas.openxmlformats.org/spreadsheetml/2006/main" count="259" uniqueCount="144">
  <si>
    <t xml:space="preserve">Project Register Template v3</t>
  </si>
  <si>
    <t xml:space="preserve">Use with the Project Status &amp; Resource Engagement Plan Dashboard.</t>
  </si>
  <si>
    <t xml:space="preserve">HOW TO USE</t>
  </si>
  <si>
    <t xml:space="preserve">1. Add or edit master data first: sheets Resources, Projects, Holidays_Leave. Lists holds roles, test statuses and priorities.</t>
  </si>
  <si>
    <t xml:space="preserve">2. Enter work on the 'Project Register' sheet, one task per row, starting at row 2. Keep the header row unchanged.</t>
  </si>
  <si>
    <t xml:space="preserve">3. Open the 'Data Check' sheet. Every row should say OK before you import. It also shows the allocation % each person gets on that task.</t>
  </si>
  <si>
    <t xml:space="preserve">4. Import 'Project Register' into the dashboard (Setup &gt; Import Project Register).</t>
  </si>
  <si>
    <t xml:space="preserve">CONVENTIONS (assumptions - change here if your rules differ)</t>
  </si>
  <si>
    <t xml:space="preserve">Working week: Sunday to Thursday (Friday and Saturday are weekends). Holidays come from Holidays_Leave.</t>
  </si>
  <si>
    <t xml:space="preserve">Effort MD is the TOTAL effort for the task and is split evenly across all assigned resources (Resource 1-3).</t>
  </si>
  <si>
    <t xml:space="preserve">Allocation % per person = Effort MD / (working days x number of resources). Leave 'Allocation / Resource' as Auto; the dashboard calculates it.</t>
  </si>
  <si>
    <t xml:space="preserve">Only Test Statuses marked 'Yes' in Lists &gt; 'Counts toward load' are included in workload. Change the flags in Lists as needed.</t>
  </si>
  <si>
    <t xml:space="preserve">Resource names must match the Resources sheet exactly (dropdown). Role is per assignment and defaults to the person's usual role.</t>
  </si>
  <si>
    <t xml:space="preserve">Dropdown ranges cover rows 2-500 of the register. Role 'Technical Lead' replaces the old 'Technical Lead, SQA' because the comma broke Excel dropdowns and CSV import.</t>
  </si>
  <si>
    <t xml:space="preserve">COLOUR LEGEND</t>
  </si>
  <si>
    <t xml:space="preserve">Blue text = value you type (inputs)</t>
  </si>
  <si>
    <t xml:space="preserve">Black text = formula, do not overwrite</t>
  </si>
  <si>
    <t xml:space="preserve">Yellow fill = configurable setting (Lists flags, Resources capacity)</t>
  </si>
  <si>
    <t xml:space="preserve">Orange header = optional columns the dashboard reads when present (Priority, Project Status, Release Date). Delete a column if your dashboard version rejects it.</t>
  </si>
  <si>
    <t xml:space="preserve">Project Status "Deployed in Live": on import the row is NOT added to the register; it goes to the dashboard's Deployed in Live section with the Release Date (today if the date is blank).</t>
  </si>
  <si>
    <t xml:space="preserve">Rows starting with [DEMO] are examples. Delete them before real use.</t>
  </si>
  <si>
    <t xml:space="preserve">Project</t>
  </si>
  <si>
    <t xml:space="preserve">JIRA ID</t>
  </si>
  <si>
    <t xml:space="preserve">Task Details</t>
  </si>
  <si>
    <t xml:space="preserve">PM</t>
  </si>
  <si>
    <t xml:space="preserve">Start Date</t>
  </si>
  <si>
    <t xml:space="preserve">End Date</t>
  </si>
  <si>
    <t xml:space="preserve">Effort MD</t>
  </si>
  <si>
    <t xml:space="preserve">Resource 1</t>
  </si>
  <si>
    <t xml:space="preserve">Role 1</t>
  </si>
  <si>
    <t xml:space="preserve">Resource 2</t>
  </si>
  <si>
    <t xml:space="preserve">Role 2</t>
  </si>
  <si>
    <t xml:space="preserve">Resource 3</t>
  </si>
  <si>
    <t xml:space="preserve">Role 3</t>
  </si>
  <si>
    <t xml:space="preserve">Allocation / Resource</t>
  </si>
  <si>
    <t xml:space="preserve">Test Status</t>
  </si>
  <si>
    <t xml:space="preserve">Priority</t>
  </si>
  <si>
    <t xml:space="preserve">Project Status</t>
  </si>
  <si>
    <t xml:space="preserve">Release Date</t>
  </si>
  <si>
    <t xml:space="preserve">HRMS</t>
  </si>
  <si>
    <t xml:space="preserve">DEMO-HRMS-001</t>
  </si>
  <si>
    <t xml:space="preserve">[DEMO] Employee Profile Enhancement</t>
  </si>
  <si>
    <t xml:space="preserve">Demo PM</t>
  </si>
  <si>
    <t xml:space="preserve">Demo Resource A</t>
  </si>
  <si>
    <t xml:space="preserve">SQA Engineer</t>
  </si>
  <si>
    <t xml:space="preserve">Auto</t>
  </si>
  <si>
    <t xml:space="preserve">Testing In Progress</t>
  </si>
  <si>
    <t xml:space="preserve">High</t>
  </si>
  <si>
    <t xml:space="preserve">In Testing</t>
  </si>
  <si>
    <t xml:space="preserve">E-Recruitment</t>
  </si>
  <si>
    <t xml:space="preserve">DEMO-REC-001</t>
  </si>
  <si>
    <t xml:space="preserve">[DEMO] Candidate Search Improvement (overlaps A)</t>
  </si>
  <si>
    <t xml:space="preserve">Demo Resource B</t>
  </si>
  <si>
    <t xml:space="preserve">Sr. SQA Engineer</t>
  </si>
  <si>
    <t xml:space="preserve">Test Case Review</t>
  </si>
  <si>
    <t xml:space="preserve">Medium</t>
  </si>
  <si>
    <t xml:space="preserve">BHP</t>
  </si>
  <si>
    <t xml:space="preserve">DEMO-BHP-001</t>
  </si>
  <si>
    <t xml:space="preserve">[DEMO] Dashboard Regression Testing</t>
  </si>
  <si>
    <t xml:space="preserve">Demo Resource C</t>
  </si>
  <si>
    <t xml:space="preserve">Lead SQA Engineer</t>
  </si>
  <si>
    <t xml:space="preserve">Regression Testing</t>
  </si>
  <si>
    <t xml:space="preserve">FM Dashboard</t>
  </si>
  <si>
    <t xml:space="preserve">DEMO-FM-001</t>
  </si>
  <si>
    <t xml:space="preserve">[DEMO] Urgent Hotfix Verification (overlaps C)</t>
  </si>
  <si>
    <t xml:space="preserve">Ready for Testing</t>
  </si>
  <si>
    <t xml:space="preserve">Critical</t>
  </si>
  <si>
    <t xml:space="preserve">CMN</t>
  </si>
  <si>
    <t xml:space="preserve">DEMO-CMN-001</t>
  </si>
  <si>
    <t xml:space="preserve">[DEMO] API Integration Validation</t>
  </si>
  <si>
    <t xml:space="preserve">Demo Resource D</t>
  </si>
  <si>
    <t xml:space="preserve">Jr. SQA Engineer</t>
  </si>
  <si>
    <t xml:space="preserve">Test Case Writing</t>
  </si>
  <si>
    <t xml:space="preserve">ED Dashboard</t>
  </si>
  <si>
    <t xml:space="preserve">DEMO-ED-001</t>
  </si>
  <si>
    <t xml:space="preserve">[DEMO] Report Filter Checks (under-used week)</t>
  </si>
  <si>
    <t xml:space="preserve">Not Started</t>
  </si>
  <si>
    <t xml:space="preserve">Low</t>
  </si>
  <si>
    <t xml:space="preserve">BSL</t>
  </si>
  <si>
    <t xml:space="preserve">DEMO-BSL-001</t>
  </si>
  <si>
    <t xml:space="preserve">[DEMO] Loan Module Smoke Test</t>
  </si>
  <si>
    <t xml:space="preserve">BRAC International</t>
  </si>
  <si>
    <t xml:space="preserve">DEMO-BRAC-001</t>
  </si>
  <si>
    <t xml:space="preserve">[DEMO] Three-person Release Testing</t>
  </si>
  <si>
    <t xml:space="preserve">BBSO</t>
  </si>
  <si>
    <t xml:space="preserve">DEMO-BBSO-001</t>
  </si>
  <si>
    <t xml:space="preserve">[DEMO] Already live - goes to Deployed in Live</t>
  </si>
  <si>
    <t xml:space="preserve">Completed</t>
  </si>
  <si>
    <t xml:space="preserve">Deployed in Live</t>
  </si>
  <si>
    <t xml:space="preserve">Register Row</t>
  </si>
  <si>
    <t xml:space="preserve">Working Days</t>
  </si>
  <si>
    <t xml:space="preserve">Resources</t>
  </si>
  <si>
    <t xml:space="preserve">Issues</t>
  </si>
  <si>
    <t xml:space="preserve">Result</t>
  </si>
  <si>
    <t xml:space="preserve">Resource Name</t>
  </si>
  <si>
    <t xml:space="preserve">Default Role</t>
  </si>
  <si>
    <t xml:space="preserve">Capacity %</t>
  </si>
  <si>
    <t xml:space="preserve">Active</t>
  </si>
  <si>
    <t xml:space="preserve">Notes</t>
  </si>
  <si>
    <t xml:space="preserve">Yes</t>
  </si>
  <si>
    <t xml:space="preserve">Capacity % is the share of the working week available for project work (100% = full time; use e.g. 80% if 20% goes to support or meetings).</t>
  </si>
  <si>
    <t xml:space="preserve">Add up to 50 resources (rows 2-51). Names here feed the Resource 1-3 dropdowns.</t>
  </si>
  <si>
    <t xml:space="preserve">Add new projects below the last one (rows up to 100). The Project dropdown on the register reads this list.</t>
  </si>
  <si>
    <t xml:space="preserve">Company Holidays</t>
  </si>
  <si>
    <t xml:space="preserve">Planned Leave</t>
  </si>
  <si>
    <t xml:space="preserve">Note</t>
  </si>
  <si>
    <t xml:space="preserve">Date</t>
  </si>
  <si>
    <t xml:space="preserve">Holiday</t>
  </si>
  <si>
    <t xml:space="preserve">Resource</t>
  </si>
  <si>
    <t xml:space="preserve">Leave From</t>
  </si>
  <si>
    <t xml:space="preserve">Leave To</t>
  </si>
  <si>
    <t xml:space="preserve">Type</t>
  </si>
  <si>
    <t xml:space="preserve">Holidays reduce working days in 'Data Check'. Leave rows are for the dashboard's capacity forecast; confirm your dashboard version reads this sheet before relying on it.</t>
  </si>
  <si>
    <t xml:space="preserve">[DEMO] Victory Day</t>
  </si>
  <si>
    <t xml:space="preserve">Annual Leave</t>
  </si>
  <si>
    <t xml:space="preserve">Roles</t>
  </si>
  <si>
    <t xml:space="preserve">Counts toward load?</t>
  </si>
  <si>
    <t xml:space="preserve">Only "Deployed in Live" has special meaning in the dashboard. The other values are examples; edit freely.</t>
  </si>
  <si>
    <t xml:space="preserve">Technical Lead</t>
  </si>
  <si>
    <t xml:space="preserve">Planned work, counts as upcoming load</t>
  </si>
  <si>
    <t xml:space="preserve">Unspecified</t>
  </si>
  <si>
    <t xml:space="preserve">In Planning</t>
  </si>
  <si>
    <t xml:space="preserve">In Development</t>
  </si>
  <si>
    <t xml:space="preserve">TCW Done</t>
  </si>
  <si>
    <t xml:space="preserve">Writing done, execution still ahead</t>
  </si>
  <si>
    <t xml:space="preserve">UAT</t>
  </si>
  <si>
    <t xml:space="preserve">Intern</t>
  </si>
  <si>
    <t xml:space="preserve">Ready to GoLive</t>
  </si>
  <si>
    <t xml:space="preserve">TCE In Progress</t>
  </si>
  <si>
    <t xml:space="preserve">TCE Halt / Blocked</t>
  </si>
  <si>
    <t xml:space="preserve">Resource is still reserved</t>
  </si>
  <si>
    <t xml:space="preserve">TCE Done</t>
  </si>
  <si>
    <t xml:space="preserve">No</t>
  </si>
  <si>
    <t xml:space="preserve">Execution finished</t>
  </si>
  <si>
    <t xml:space="preserve">Retesting</t>
  </si>
  <si>
    <t xml:space="preserve">UAT In Progress</t>
  </si>
  <si>
    <t xml:space="preserve">UAT Support</t>
  </si>
  <si>
    <t xml:space="preserve">UAT Halt / Blocked</t>
  </si>
  <si>
    <t xml:space="preserve">UAT Done</t>
  </si>
  <si>
    <t xml:space="preserve">Passed</t>
  </si>
  <si>
    <t xml:space="preserve">Failed</t>
  </si>
  <si>
    <t xml:space="preserve">Assumption: failed work will be retested. Set to No if closed.</t>
  </si>
  <si>
    <t xml:space="preserve">On Hold</t>
  </si>
  <si>
    <t xml:space="preserve">Assumption: no capacity reserved while on hold.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</si>
</sst>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.0##"/>
    <numFmt numFmtId="167" formatCode="General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23.8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5" t="s">
        <v>17</v>
      </c>
    </row>
    <row r="22" customFormat="false" ht="23.85" hidden="false" customHeight="false" outlineLevel="0" collapsed="false">
      <c r="A22" s="6" t="s">
        <v>18</v>
      </c>
    </row>
    <row r="23" customFormat="false" ht="23.8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14" min="8" style="0" width="20"/>
    <col collapsed="false" customWidth="true" hidden="false" outlineLevel="0" max="15" min="15" style="0" width="22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8" t="s">
        <v>36</v>
      </c>
      <c r="Q1" s="8" t="s">
        <v>37</v>
      </c>
      <c r="R1" s="8" t="s">
        <v>38</v>
      </c>
    </row>
    <row r="2" customFormat="false" ht="15" hidden="false" customHeight="false" outlineLevel="0" collapsed="false">
      <c r="A2" s="9" t="s">
        <v>39</v>
      </c>
      <c r="B2" s="9" t="s">
        <v>40</v>
      </c>
      <c r="C2" s="9" t="s">
        <v>41</v>
      </c>
      <c r="D2" s="9" t="s">
        <v>42</v>
      </c>
      <c r="E2" s="10" t="n">
        <v>46299</v>
      </c>
      <c r="F2" s="10" t="n">
        <v>46303</v>
      </c>
      <c r="G2" s="11" t="n">
        <v>5</v>
      </c>
      <c r="H2" s="9" t="s">
        <v>43</v>
      </c>
      <c r="I2" s="9" t="s">
        <v>44</v>
      </c>
      <c r="J2" s="9"/>
      <c r="K2" s="9"/>
      <c r="L2" s="9"/>
      <c r="M2" s="9"/>
      <c r="N2" s="9" t="s">
        <v>45</v>
      </c>
      <c r="O2" s="9" t="s">
        <v>46</v>
      </c>
      <c r="P2" s="9" t="s">
        <v>47</v>
      </c>
      <c r="Q2" s="9" t="s">
        <v>48</v>
      </c>
      <c r="R2" s="10"/>
    </row>
    <row r="3" customFormat="false" ht="15" hidden="false" customHeight="false" outlineLevel="0" collapsed="false">
      <c r="A3" s="9" t="s">
        <v>49</v>
      </c>
      <c r="B3" s="9" t="s">
        <v>50</v>
      </c>
      <c r="C3" s="9" t="s">
        <v>51</v>
      </c>
      <c r="D3" s="9" t="s">
        <v>42</v>
      </c>
      <c r="E3" s="10" t="n">
        <v>46299</v>
      </c>
      <c r="F3" s="10" t="n">
        <v>46303</v>
      </c>
      <c r="G3" s="11" t="n">
        <v>3</v>
      </c>
      <c r="H3" s="9" t="s">
        <v>43</v>
      </c>
      <c r="I3" s="9" t="s">
        <v>44</v>
      </c>
      <c r="J3" s="9" t="s">
        <v>52</v>
      </c>
      <c r="K3" s="9" t="s">
        <v>53</v>
      </c>
      <c r="L3" s="9"/>
      <c r="M3" s="9"/>
      <c r="N3" s="9" t="s">
        <v>45</v>
      </c>
      <c r="O3" s="9" t="s">
        <v>54</v>
      </c>
      <c r="P3" s="9" t="s">
        <v>55</v>
      </c>
      <c r="Q3" s="9"/>
      <c r="R3" s="10"/>
    </row>
    <row r="4" customFormat="false" ht="15" hidden="false" customHeight="false" outlineLevel="0" collapsed="false">
      <c r="A4" s="9" t="s">
        <v>56</v>
      </c>
      <c r="B4" s="9" t="s">
        <v>57</v>
      </c>
      <c r="C4" s="9" t="s">
        <v>58</v>
      </c>
      <c r="D4" s="9" t="s">
        <v>42</v>
      </c>
      <c r="E4" s="10" t="n">
        <v>46306</v>
      </c>
      <c r="F4" s="10" t="n">
        <v>46310</v>
      </c>
      <c r="G4" s="11" t="n">
        <v>4</v>
      </c>
      <c r="H4" s="9" t="s">
        <v>59</v>
      </c>
      <c r="I4" s="9" t="s">
        <v>60</v>
      </c>
      <c r="J4" s="9"/>
      <c r="K4" s="9"/>
      <c r="L4" s="9"/>
      <c r="M4" s="9"/>
      <c r="N4" s="9" t="s">
        <v>45</v>
      </c>
      <c r="O4" s="9" t="s">
        <v>61</v>
      </c>
      <c r="P4" s="9" t="s">
        <v>47</v>
      </c>
      <c r="Q4" s="9"/>
      <c r="R4" s="10"/>
    </row>
    <row r="5" customFormat="false" ht="15" hidden="false" customHeight="false" outlineLevel="0" collapsed="false">
      <c r="A5" s="9" t="s">
        <v>62</v>
      </c>
      <c r="B5" s="9" t="s">
        <v>63</v>
      </c>
      <c r="C5" s="9" t="s">
        <v>64</v>
      </c>
      <c r="D5" s="9" t="s">
        <v>42</v>
      </c>
      <c r="E5" s="10" t="n">
        <v>46306</v>
      </c>
      <c r="F5" s="10" t="n">
        <v>46308</v>
      </c>
      <c r="G5" s="11" t="n">
        <v>3</v>
      </c>
      <c r="H5" s="9" t="s">
        <v>59</v>
      </c>
      <c r="I5" s="9" t="s">
        <v>60</v>
      </c>
      <c r="J5" s="9"/>
      <c r="K5" s="9"/>
      <c r="L5" s="9"/>
      <c r="M5" s="9"/>
      <c r="N5" s="9" t="s">
        <v>45</v>
      </c>
      <c r="O5" s="9" t="s">
        <v>65</v>
      </c>
      <c r="P5" s="9" t="s">
        <v>66</v>
      </c>
      <c r="Q5" s="9"/>
      <c r="R5" s="10"/>
    </row>
    <row r="6" customFormat="false" ht="15" hidden="false" customHeight="false" outlineLevel="0" collapsed="false">
      <c r="A6" s="9" t="s">
        <v>67</v>
      </c>
      <c r="B6" s="9" t="s">
        <v>68</v>
      </c>
      <c r="C6" s="9" t="s">
        <v>69</v>
      </c>
      <c r="D6" s="9" t="s">
        <v>42</v>
      </c>
      <c r="E6" s="10" t="n">
        <v>46306</v>
      </c>
      <c r="F6" s="10" t="n">
        <v>46310</v>
      </c>
      <c r="G6" s="11" t="n">
        <v>4</v>
      </c>
      <c r="H6" s="9" t="s">
        <v>52</v>
      </c>
      <c r="I6" s="9" t="s">
        <v>53</v>
      </c>
      <c r="J6" s="9" t="s">
        <v>70</v>
      </c>
      <c r="K6" s="9" t="s">
        <v>71</v>
      </c>
      <c r="L6" s="9"/>
      <c r="M6" s="9"/>
      <c r="N6" s="9" t="s">
        <v>45</v>
      </c>
      <c r="O6" s="9" t="s">
        <v>72</v>
      </c>
      <c r="P6" s="9" t="s">
        <v>55</v>
      </c>
      <c r="Q6" s="9"/>
      <c r="R6" s="10"/>
    </row>
    <row r="7" customFormat="false" ht="15" hidden="false" customHeight="false" outlineLevel="0" collapsed="false">
      <c r="A7" s="9" t="s">
        <v>73</v>
      </c>
      <c r="B7" s="9" t="s">
        <v>74</v>
      </c>
      <c r="C7" s="9" t="s">
        <v>75</v>
      </c>
      <c r="D7" s="9" t="s">
        <v>42</v>
      </c>
      <c r="E7" s="10" t="n">
        <v>46313</v>
      </c>
      <c r="F7" s="10" t="n">
        <v>46317</v>
      </c>
      <c r="G7" s="11" t="n">
        <v>2</v>
      </c>
      <c r="H7" s="9" t="s">
        <v>52</v>
      </c>
      <c r="I7" s="9" t="s">
        <v>53</v>
      </c>
      <c r="J7" s="9"/>
      <c r="K7" s="9"/>
      <c r="L7" s="9"/>
      <c r="M7" s="9"/>
      <c r="N7" s="9" t="s">
        <v>45</v>
      </c>
      <c r="O7" s="9" t="s">
        <v>76</v>
      </c>
      <c r="P7" s="9" t="s">
        <v>77</v>
      </c>
      <c r="Q7" s="9"/>
      <c r="R7" s="10"/>
    </row>
    <row r="8" customFormat="false" ht="15" hidden="false" customHeight="false" outlineLevel="0" collapsed="false">
      <c r="A8" s="9" t="s">
        <v>78</v>
      </c>
      <c r="B8" s="9" t="s">
        <v>79</v>
      </c>
      <c r="C8" s="9" t="s">
        <v>80</v>
      </c>
      <c r="D8" s="9" t="s">
        <v>42</v>
      </c>
      <c r="E8" s="10" t="n">
        <v>46313</v>
      </c>
      <c r="F8" s="10" t="n">
        <v>46317</v>
      </c>
      <c r="G8" s="11" t="n">
        <v>5</v>
      </c>
      <c r="H8" s="9" t="s">
        <v>70</v>
      </c>
      <c r="I8" s="9" t="s">
        <v>71</v>
      </c>
      <c r="J8" s="9"/>
      <c r="K8" s="9"/>
      <c r="L8" s="9"/>
      <c r="M8" s="9"/>
      <c r="N8" s="9" t="s">
        <v>45</v>
      </c>
      <c r="O8" s="9" t="s">
        <v>65</v>
      </c>
      <c r="P8" s="9" t="s">
        <v>55</v>
      </c>
      <c r="Q8" s="9"/>
      <c r="R8" s="10"/>
    </row>
    <row r="9" customFormat="false" ht="15" hidden="false" customHeight="false" outlineLevel="0" collapsed="false">
      <c r="A9" s="9" t="s">
        <v>81</v>
      </c>
      <c r="B9" s="9" t="s">
        <v>82</v>
      </c>
      <c r="C9" s="9" t="s">
        <v>83</v>
      </c>
      <c r="D9" s="9" t="s">
        <v>42</v>
      </c>
      <c r="E9" s="10" t="n">
        <v>46320</v>
      </c>
      <c r="F9" s="10" t="n">
        <v>46324</v>
      </c>
      <c r="G9" s="11" t="n">
        <v>6</v>
      </c>
      <c r="H9" s="9" t="s">
        <v>43</v>
      </c>
      <c r="I9" s="9" t="s">
        <v>44</v>
      </c>
      <c r="J9" s="9" t="s">
        <v>52</v>
      </c>
      <c r="K9" s="9" t="s">
        <v>53</v>
      </c>
      <c r="L9" s="9" t="s">
        <v>59</v>
      </c>
      <c r="M9" s="9" t="s">
        <v>60</v>
      </c>
      <c r="N9" s="9" t="s">
        <v>45</v>
      </c>
      <c r="O9" s="9" t="s">
        <v>76</v>
      </c>
      <c r="P9" s="9" t="s">
        <v>47</v>
      </c>
      <c r="Q9" s="9"/>
      <c r="R9" s="10"/>
    </row>
    <row r="10" customFormat="false" ht="15" hidden="false" customHeight="false" outlineLevel="0" collapsed="false">
      <c r="A10" s="9" t="s">
        <v>84</v>
      </c>
      <c r="B10" s="9" t="s">
        <v>85</v>
      </c>
      <c r="C10" s="9" t="s">
        <v>86</v>
      </c>
      <c r="D10" s="9" t="s">
        <v>42</v>
      </c>
      <c r="E10" s="10" t="n">
        <v>46285</v>
      </c>
      <c r="F10" s="10" t="n">
        <v>46289</v>
      </c>
      <c r="G10" s="11" t="n">
        <v>5</v>
      </c>
      <c r="H10" s="9" t="s">
        <v>43</v>
      </c>
      <c r="I10" s="9" t="s">
        <v>44</v>
      </c>
      <c r="J10" s="9"/>
      <c r="K10" s="9"/>
      <c r="L10" s="9"/>
      <c r="M10" s="9"/>
      <c r="N10" s="9" t="s">
        <v>45</v>
      </c>
      <c r="O10" s="9" t="s">
        <v>87</v>
      </c>
      <c r="P10" s="9" t="s">
        <v>77</v>
      </c>
      <c r="Q10" s="9" t="s">
        <v>88</v>
      </c>
      <c r="R10" s="10" t="n">
        <v>46290</v>
      </c>
    </row>
    <row r="11" customFormat="false" ht="15" hidden="false" customHeight="false" outlineLevel="0" collapsed="false">
      <c r="E11" s="12"/>
      <c r="F11" s="12"/>
      <c r="G11" s="13"/>
      <c r="R11" s="12"/>
    </row>
    <row r="12" customFormat="false" ht="15" hidden="false" customHeight="false" outlineLevel="0" collapsed="false">
      <c r="E12" s="12"/>
      <c r="F12" s="12"/>
      <c r="G12" s="13"/>
      <c r="R12" s="12"/>
    </row>
    <row r="13" customFormat="false" ht="15" hidden="false" customHeight="false" outlineLevel="0" collapsed="false">
      <c r="E13" s="12"/>
      <c r="F13" s="12"/>
      <c r="G13" s="13"/>
      <c r="R13" s="12"/>
    </row>
    <row r="14" customFormat="false" ht="15" hidden="false" customHeight="false" outlineLevel="0" collapsed="false">
      <c r="E14" s="12"/>
      <c r="F14" s="12"/>
      <c r="G14" s="13"/>
      <c r="R14" s="12"/>
    </row>
    <row r="15" customFormat="false" ht="15" hidden="false" customHeight="false" outlineLevel="0" collapsed="false">
      <c r="E15" s="12"/>
      <c r="F15" s="12"/>
      <c r="G15" s="13"/>
      <c r="R15" s="12"/>
    </row>
    <row r="16" customFormat="false" ht="15" hidden="false" customHeight="false" outlineLevel="0" collapsed="false">
      <c r="E16" s="12"/>
      <c r="F16" s="12"/>
      <c r="G16" s="13"/>
      <c r="R16" s="12"/>
    </row>
    <row r="17" customFormat="false" ht="15" hidden="false" customHeight="false" outlineLevel="0" collapsed="false">
      <c r="E17" s="12"/>
      <c r="F17" s="12"/>
      <c r="G17" s="13"/>
      <c r="R17" s="12"/>
    </row>
    <row r="18" customFormat="false" ht="15" hidden="false" customHeight="false" outlineLevel="0" collapsed="false">
      <c r="E18" s="12"/>
      <c r="F18" s="12"/>
      <c r="G18" s="13"/>
      <c r="R18" s="12"/>
    </row>
    <row r="19" customFormat="false" ht="15" hidden="false" customHeight="false" outlineLevel="0" collapsed="false">
      <c r="E19" s="12"/>
      <c r="F19" s="12"/>
      <c r="G19" s="13"/>
      <c r="R19" s="12"/>
    </row>
    <row r="20" customFormat="false" ht="15" hidden="false" customHeight="false" outlineLevel="0" collapsed="false">
      <c r="E20" s="12"/>
      <c r="F20" s="12"/>
      <c r="G20" s="13"/>
      <c r="R20" s="12"/>
    </row>
    <row r="21" customFormat="false" ht="15" hidden="false" customHeight="false" outlineLevel="0" collapsed="false">
      <c r="E21" s="12"/>
      <c r="F21" s="12"/>
      <c r="G21" s="13"/>
      <c r="R21" s="12"/>
    </row>
    <row r="22" customFormat="false" ht="15" hidden="false" customHeight="false" outlineLevel="0" collapsed="false">
      <c r="E22" s="12"/>
      <c r="F22" s="12"/>
      <c r="G22" s="13"/>
      <c r="R22" s="12"/>
    </row>
    <row r="23" customFormat="false" ht="15" hidden="false" customHeight="false" outlineLevel="0" collapsed="false">
      <c r="E23" s="12"/>
      <c r="F23" s="12"/>
      <c r="G23" s="13"/>
      <c r="R23" s="12"/>
    </row>
    <row r="24" customFormat="false" ht="15" hidden="false" customHeight="false" outlineLevel="0" collapsed="false">
      <c r="E24" s="12"/>
      <c r="F24" s="12"/>
      <c r="G24" s="13"/>
      <c r="R24" s="12"/>
    </row>
    <row r="25" customFormat="false" ht="15" hidden="false" customHeight="false" outlineLevel="0" collapsed="false">
      <c r="E25" s="12"/>
      <c r="F25" s="12"/>
      <c r="G25" s="13"/>
      <c r="R25" s="12"/>
    </row>
    <row r="26" customFormat="false" ht="15" hidden="false" customHeight="false" outlineLevel="0" collapsed="false">
      <c r="E26" s="12"/>
      <c r="F26" s="12"/>
      <c r="G26" s="13"/>
      <c r="R26" s="12"/>
    </row>
    <row r="27" customFormat="false" ht="15" hidden="false" customHeight="false" outlineLevel="0" collapsed="false">
      <c r="E27" s="12"/>
      <c r="F27" s="12"/>
      <c r="G27" s="13"/>
      <c r="R27" s="12"/>
    </row>
    <row r="28" customFormat="false" ht="15" hidden="false" customHeight="false" outlineLevel="0" collapsed="false">
      <c r="E28" s="12"/>
      <c r="F28" s="12"/>
      <c r="G28" s="13"/>
      <c r="R28" s="12"/>
    </row>
    <row r="29" customFormat="false" ht="15" hidden="false" customHeight="false" outlineLevel="0" collapsed="false">
      <c r="E29" s="12"/>
      <c r="F29" s="12"/>
      <c r="G29" s="13"/>
      <c r="R29" s="12"/>
    </row>
    <row r="30" customFormat="false" ht="15" hidden="false" customHeight="false" outlineLevel="0" collapsed="false">
      <c r="E30" s="12"/>
      <c r="F30" s="12"/>
      <c r="G30" s="13"/>
      <c r="R30" s="12"/>
    </row>
    <row r="31" customFormat="false" ht="15" hidden="false" customHeight="false" outlineLevel="0" collapsed="false">
      <c r="E31" s="12"/>
      <c r="F31" s="12"/>
      <c r="G31" s="13"/>
      <c r="R31" s="12"/>
    </row>
    <row r="32" customFormat="false" ht="15" hidden="false" customHeight="false" outlineLevel="0" collapsed="false">
      <c r="E32" s="12"/>
      <c r="F32" s="12"/>
      <c r="G32" s="13"/>
      <c r="R32" s="12"/>
    </row>
    <row r="33" customFormat="false" ht="15" hidden="false" customHeight="false" outlineLevel="0" collapsed="false">
      <c r="E33" s="12"/>
      <c r="F33" s="12"/>
      <c r="G33" s="13"/>
      <c r="R33" s="12"/>
    </row>
    <row r="34" customFormat="false" ht="15" hidden="false" customHeight="false" outlineLevel="0" collapsed="false">
      <c r="E34" s="12"/>
      <c r="F34" s="12"/>
      <c r="G34" s="13"/>
      <c r="R34" s="12"/>
    </row>
    <row r="35" customFormat="false" ht="15" hidden="false" customHeight="false" outlineLevel="0" collapsed="false">
      <c r="E35" s="12"/>
      <c r="F35" s="12"/>
      <c r="G35" s="13"/>
      <c r="R35" s="12"/>
    </row>
    <row r="36" customFormat="false" ht="15" hidden="false" customHeight="false" outlineLevel="0" collapsed="false">
      <c r="E36" s="12"/>
      <c r="F36" s="12"/>
      <c r="G36" s="13"/>
      <c r="R36" s="12"/>
    </row>
    <row r="37" customFormat="false" ht="15" hidden="false" customHeight="false" outlineLevel="0" collapsed="false">
      <c r="E37" s="12"/>
      <c r="F37" s="12"/>
      <c r="G37" s="13"/>
      <c r="R37" s="12"/>
    </row>
    <row r="38" customFormat="false" ht="15" hidden="false" customHeight="false" outlineLevel="0" collapsed="false">
      <c r="E38" s="12"/>
      <c r="F38" s="12"/>
      <c r="G38" s="13"/>
      <c r="R38" s="12"/>
    </row>
    <row r="39" customFormat="false" ht="15" hidden="false" customHeight="false" outlineLevel="0" collapsed="false">
      <c r="E39" s="12"/>
      <c r="F39" s="12"/>
      <c r="G39" s="13"/>
      <c r="R39" s="12"/>
    </row>
    <row r="40" customFormat="false" ht="15" hidden="false" customHeight="false" outlineLevel="0" collapsed="false">
      <c r="E40" s="12"/>
      <c r="F40" s="12"/>
      <c r="G40" s="13"/>
      <c r="R40" s="12"/>
    </row>
    <row r="41" customFormat="false" ht="15" hidden="false" customHeight="false" outlineLevel="0" collapsed="false">
      <c r="E41" s="12"/>
      <c r="F41" s="12"/>
      <c r="G41" s="13"/>
      <c r="R41" s="12"/>
    </row>
    <row r="42" customFormat="false" ht="15" hidden="false" customHeight="false" outlineLevel="0" collapsed="false">
      <c r="E42" s="12"/>
      <c r="F42" s="12"/>
      <c r="G42" s="13"/>
      <c r="R42" s="12"/>
    </row>
    <row r="43" customFormat="false" ht="15" hidden="false" customHeight="false" outlineLevel="0" collapsed="false">
      <c r="E43" s="12"/>
      <c r="F43" s="12"/>
      <c r="G43" s="13"/>
      <c r="R43" s="12"/>
    </row>
    <row r="44" customFormat="false" ht="15" hidden="false" customHeight="false" outlineLevel="0" collapsed="false">
      <c r="E44" s="12"/>
      <c r="F44" s="12"/>
      <c r="G44" s="13"/>
      <c r="R44" s="12"/>
    </row>
    <row r="45" customFormat="false" ht="15" hidden="false" customHeight="false" outlineLevel="0" collapsed="false">
      <c r="E45" s="12"/>
      <c r="F45" s="12"/>
      <c r="G45" s="13"/>
      <c r="R45" s="12"/>
    </row>
    <row r="46" customFormat="false" ht="15" hidden="false" customHeight="false" outlineLevel="0" collapsed="false">
      <c r="E46" s="12"/>
      <c r="F46" s="12"/>
      <c r="G46" s="13"/>
      <c r="R46" s="12"/>
    </row>
    <row r="47" customFormat="false" ht="15" hidden="false" customHeight="false" outlineLevel="0" collapsed="false">
      <c r="E47" s="12"/>
      <c r="F47" s="12"/>
      <c r="G47" s="13"/>
      <c r="R47" s="12"/>
    </row>
    <row r="48" customFormat="false" ht="15" hidden="false" customHeight="false" outlineLevel="0" collapsed="false">
      <c r="E48" s="12"/>
      <c r="F48" s="12"/>
      <c r="G48" s="13"/>
      <c r="R48" s="12"/>
    </row>
    <row r="49" customFormat="false" ht="15" hidden="false" customHeight="false" outlineLevel="0" collapsed="false">
      <c r="E49" s="12"/>
      <c r="F49" s="12"/>
      <c r="G49" s="13"/>
      <c r="R49" s="12"/>
    </row>
    <row r="50" customFormat="false" ht="15" hidden="false" customHeight="false" outlineLevel="0" collapsed="false">
      <c r="E50" s="12"/>
      <c r="F50" s="12"/>
      <c r="G50" s="13"/>
      <c r="R50" s="12"/>
    </row>
    <row r="51" customFormat="false" ht="15" hidden="false" customHeight="false" outlineLevel="0" collapsed="false">
      <c r="E51" s="12"/>
      <c r="F51" s="12"/>
      <c r="G51" s="13"/>
      <c r="R51" s="12"/>
    </row>
    <row r="52" customFormat="false" ht="15" hidden="false" customHeight="false" outlineLevel="0" collapsed="false">
      <c r="E52" s="12"/>
      <c r="F52" s="12"/>
      <c r="G52" s="13"/>
      <c r="R52" s="12"/>
    </row>
    <row r="53" customFormat="false" ht="15" hidden="false" customHeight="false" outlineLevel="0" collapsed="false">
      <c r="E53" s="12"/>
      <c r="F53" s="12"/>
      <c r="G53" s="13"/>
      <c r="R53" s="12"/>
    </row>
    <row r="54" customFormat="false" ht="15" hidden="false" customHeight="false" outlineLevel="0" collapsed="false">
      <c r="E54" s="12"/>
      <c r="F54" s="12"/>
      <c r="G54" s="13"/>
      <c r="R54" s="12"/>
    </row>
    <row r="55" customFormat="false" ht="15" hidden="false" customHeight="false" outlineLevel="0" collapsed="false">
      <c r="E55" s="12"/>
      <c r="F55" s="12"/>
      <c r="G55" s="13"/>
      <c r="R55" s="12"/>
    </row>
    <row r="56" customFormat="false" ht="15" hidden="false" customHeight="false" outlineLevel="0" collapsed="false">
      <c r="E56" s="12"/>
      <c r="F56" s="12"/>
      <c r="G56" s="13"/>
      <c r="R56" s="12"/>
    </row>
    <row r="57" customFormat="false" ht="15" hidden="false" customHeight="false" outlineLevel="0" collapsed="false">
      <c r="E57" s="12"/>
      <c r="F57" s="12"/>
      <c r="G57" s="13"/>
      <c r="R57" s="12"/>
    </row>
    <row r="58" customFormat="false" ht="15" hidden="false" customHeight="false" outlineLevel="0" collapsed="false">
      <c r="E58" s="12"/>
      <c r="F58" s="12"/>
      <c r="G58" s="13"/>
      <c r="R58" s="12"/>
    </row>
    <row r="59" customFormat="false" ht="15" hidden="false" customHeight="false" outlineLevel="0" collapsed="false">
      <c r="E59" s="12"/>
      <c r="F59" s="12"/>
      <c r="G59" s="13"/>
      <c r="R59" s="12"/>
    </row>
    <row r="60" customFormat="false" ht="15" hidden="false" customHeight="false" outlineLevel="0" collapsed="false">
      <c r="E60" s="12"/>
      <c r="F60" s="12"/>
      <c r="G60" s="13"/>
      <c r="R60" s="12"/>
    </row>
    <row r="61" customFormat="false" ht="15" hidden="false" customHeight="false" outlineLevel="0" collapsed="false">
      <c r="E61" s="12"/>
      <c r="F61" s="12"/>
      <c r="G61" s="13"/>
      <c r="R61" s="12"/>
    </row>
    <row r="62" customFormat="false" ht="15" hidden="false" customHeight="false" outlineLevel="0" collapsed="false">
      <c r="E62" s="12"/>
      <c r="F62" s="12"/>
      <c r="G62" s="13"/>
      <c r="R62" s="12"/>
    </row>
    <row r="63" customFormat="false" ht="15" hidden="false" customHeight="false" outlineLevel="0" collapsed="false">
      <c r="E63" s="12"/>
      <c r="F63" s="12"/>
      <c r="G63" s="13"/>
      <c r="R63" s="12"/>
    </row>
    <row r="64" customFormat="false" ht="15" hidden="false" customHeight="false" outlineLevel="0" collapsed="false">
      <c r="E64" s="12"/>
      <c r="F64" s="12"/>
      <c r="G64" s="13"/>
      <c r="R64" s="12"/>
    </row>
    <row r="65" customFormat="false" ht="15" hidden="false" customHeight="false" outlineLevel="0" collapsed="false">
      <c r="E65" s="12"/>
      <c r="F65" s="12"/>
      <c r="G65" s="13"/>
      <c r="R65" s="12"/>
    </row>
    <row r="66" customFormat="false" ht="15" hidden="false" customHeight="false" outlineLevel="0" collapsed="false">
      <c r="E66" s="12"/>
      <c r="F66" s="12"/>
      <c r="G66" s="13"/>
      <c r="R66" s="12"/>
    </row>
    <row r="67" customFormat="false" ht="15" hidden="false" customHeight="false" outlineLevel="0" collapsed="false">
      <c r="E67" s="12"/>
      <c r="F67" s="12"/>
      <c r="G67" s="13"/>
      <c r="R67" s="12"/>
    </row>
    <row r="68" customFormat="false" ht="15" hidden="false" customHeight="false" outlineLevel="0" collapsed="false">
      <c r="E68" s="12"/>
      <c r="F68" s="12"/>
      <c r="G68" s="13"/>
      <c r="R68" s="12"/>
    </row>
    <row r="69" customFormat="false" ht="15" hidden="false" customHeight="false" outlineLevel="0" collapsed="false">
      <c r="E69" s="12"/>
      <c r="F69" s="12"/>
      <c r="G69" s="13"/>
      <c r="R69" s="12"/>
    </row>
    <row r="70" customFormat="false" ht="15" hidden="false" customHeight="false" outlineLevel="0" collapsed="false">
      <c r="E70" s="12"/>
      <c r="F70" s="12"/>
      <c r="G70" s="13"/>
      <c r="R70" s="12"/>
    </row>
    <row r="71" customFormat="false" ht="15" hidden="false" customHeight="false" outlineLevel="0" collapsed="false">
      <c r="E71" s="12"/>
      <c r="F71" s="12"/>
      <c r="G71" s="13"/>
      <c r="R71" s="12"/>
    </row>
    <row r="72" customFormat="false" ht="15" hidden="false" customHeight="false" outlineLevel="0" collapsed="false">
      <c r="E72" s="12"/>
      <c r="F72" s="12"/>
      <c r="G72" s="13"/>
      <c r="R72" s="12"/>
    </row>
    <row r="73" customFormat="false" ht="15" hidden="false" customHeight="false" outlineLevel="0" collapsed="false">
      <c r="E73" s="12"/>
      <c r="F73" s="12"/>
      <c r="G73" s="13"/>
      <c r="R73" s="12"/>
    </row>
    <row r="74" customFormat="false" ht="15" hidden="false" customHeight="false" outlineLevel="0" collapsed="false">
      <c r="E74" s="12"/>
      <c r="F74" s="12"/>
      <c r="G74" s="13"/>
      <c r="R74" s="12"/>
    </row>
    <row r="75" customFormat="false" ht="15" hidden="false" customHeight="false" outlineLevel="0" collapsed="false">
      <c r="E75" s="12"/>
      <c r="F75" s="12"/>
      <c r="G75" s="13"/>
      <c r="R75" s="12"/>
    </row>
    <row r="76" customFormat="false" ht="15" hidden="false" customHeight="false" outlineLevel="0" collapsed="false">
      <c r="E76" s="12"/>
      <c r="F76" s="12"/>
      <c r="G76" s="13"/>
      <c r="R76" s="12"/>
    </row>
    <row r="77" customFormat="false" ht="15" hidden="false" customHeight="false" outlineLevel="0" collapsed="false">
      <c r="E77" s="12"/>
      <c r="F77" s="12"/>
      <c r="G77" s="13"/>
      <c r="R77" s="12"/>
    </row>
    <row r="78" customFormat="false" ht="15" hidden="false" customHeight="false" outlineLevel="0" collapsed="false">
      <c r="E78" s="12"/>
      <c r="F78" s="12"/>
      <c r="G78" s="13"/>
      <c r="R78" s="12"/>
    </row>
    <row r="79" customFormat="false" ht="15" hidden="false" customHeight="false" outlineLevel="0" collapsed="false">
      <c r="E79" s="12"/>
      <c r="F79" s="12"/>
      <c r="G79" s="13"/>
      <c r="R79" s="12"/>
    </row>
    <row r="80" customFormat="false" ht="15" hidden="false" customHeight="false" outlineLevel="0" collapsed="false">
      <c r="E80" s="12"/>
      <c r="F80" s="12"/>
      <c r="G80" s="13"/>
      <c r="R80" s="12"/>
    </row>
    <row r="81" customFormat="false" ht="15" hidden="false" customHeight="false" outlineLevel="0" collapsed="false">
      <c r="E81" s="12"/>
      <c r="F81" s="12"/>
      <c r="G81" s="13"/>
      <c r="R81" s="12"/>
    </row>
    <row r="82" customFormat="false" ht="15" hidden="false" customHeight="false" outlineLevel="0" collapsed="false">
      <c r="E82" s="12"/>
      <c r="F82" s="12"/>
      <c r="G82" s="13"/>
      <c r="R82" s="12"/>
    </row>
    <row r="83" customFormat="false" ht="15" hidden="false" customHeight="false" outlineLevel="0" collapsed="false">
      <c r="E83" s="12"/>
      <c r="F83" s="12"/>
      <c r="G83" s="13"/>
      <c r="R83" s="12"/>
    </row>
    <row r="84" customFormat="false" ht="15" hidden="false" customHeight="false" outlineLevel="0" collapsed="false">
      <c r="E84" s="12"/>
      <c r="F84" s="12"/>
      <c r="G84" s="13"/>
      <c r="R84" s="12"/>
    </row>
    <row r="85" customFormat="false" ht="15" hidden="false" customHeight="false" outlineLevel="0" collapsed="false">
      <c r="E85" s="12"/>
      <c r="F85" s="12"/>
      <c r="G85" s="13"/>
      <c r="R85" s="12"/>
    </row>
    <row r="86" customFormat="false" ht="15" hidden="false" customHeight="false" outlineLevel="0" collapsed="false">
      <c r="E86" s="12"/>
      <c r="F86" s="12"/>
      <c r="G86" s="13"/>
      <c r="R86" s="12"/>
    </row>
    <row r="87" customFormat="false" ht="15" hidden="false" customHeight="false" outlineLevel="0" collapsed="false">
      <c r="E87" s="12"/>
      <c r="F87" s="12"/>
      <c r="G87" s="13"/>
      <c r="R87" s="12"/>
    </row>
    <row r="88" customFormat="false" ht="15" hidden="false" customHeight="false" outlineLevel="0" collapsed="false">
      <c r="E88" s="12"/>
      <c r="F88" s="12"/>
      <c r="G88" s="13"/>
      <c r="R88" s="12"/>
    </row>
    <row r="89" customFormat="false" ht="15" hidden="false" customHeight="false" outlineLevel="0" collapsed="false">
      <c r="E89" s="12"/>
      <c r="F89" s="12"/>
      <c r="G89" s="13"/>
      <c r="R89" s="12"/>
    </row>
    <row r="90" customFormat="false" ht="15" hidden="false" customHeight="false" outlineLevel="0" collapsed="false">
      <c r="E90" s="12"/>
      <c r="F90" s="12"/>
      <c r="G90" s="13"/>
      <c r="R90" s="12"/>
    </row>
    <row r="91" customFormat="false" ht="15" hidden="false" customHeight="false" outlineLevel="0" collapsed="false">
      <c r="E91" s="12"/>
      <c r="F91" s="12"/>
      <c r="G91" s="13"/>
      <c r="R91" s="12"/>
    </row>
    <row r="92" customFormat="false" ht="15" hidden="false" customHeight="false" outlineLevel="0" collapsed="false">
      <c r="E92" s="12"/>
      <c r="F92" s="12"/>
      <c r="G92" s="13"/>
      <c r="R92" s="12"/>
    </row>
    <row r="93" customFormat="false" ht="15" hidden="false" customHeight="false" outlineLevel="0" collapsed="false">
      <c r="E93" s="12"/>
      <c r="F93" s="12"/>
      <c r="G93" s="13"/>
      <c r="R93" s="12"/>
    </row>
    <row r="94" customFormat="false" ht="15" hidden="false" customHeight="false" outlineLevel="0" collapsed="false">
      <c r="E94" s="12"/>
      <c r="F94" s="12"/>
      <c r="G94" s="13"/>
      <c r="R94" s="12"/>
    </row>
    <row r="95" customFormat="false" ht="15" hidden="false" customHeight="false" outlineLevel="0" collapsed="false">
      <c r="E95" s="12"/>
      <c r="F95" s="12"/>
      <c r="G95" s="13"/>
      <c r="R95" s="12"/>
    </row>
    <row r="96" customFormat="false" ht="15" hidden="false" customHeight="false" outlineLevel="0" collapsed="false">
      <c r="E96" s="12"/>
      <c r="F96" s="12"/>
      <c r="G96" s="13"/>
      <c r="R96" s="12"/>
    </row>
    <row r="97" customFormat="false" ht="15" hidden="false" customHeight="false" outlineLevel="0" collapsed="false">
      <c r="E97" s="12"/>
      <c r="F97" s="12"/>
      <c r="G97" s="13"/>
      <c r="R97" s="12"/>
    </row>
    <row r="98" customFormat="false" ht="15" hidden="false" customHeight="false" outlineLevel="0" collapsed="false">
      <c r="E98" s="12"/>
      <c r="F98" s="12"/>
      <c r="G98" s="13"/>
      <c r="R98" s="12"/>
    </row>
    <row r="99" customFormat="false" ht="15" hidden="false" customHeight="false" outlineLevel="0" collapsed="false">
      <c r="E99" s="12"/>
      <c r="F99" s="12"/>
      <c r="G99" s="13"/>
      <c r="R99" s="12"/>
    </row>
    <row r="100" customFormat="false" ht="15" hidden="false" customHeight="false" outlineLevel="0" collapsed="false">
      <c r="E100" s="12"/>
      <c r="F100" s="12"/>
      <c r="G100" s="13"/>
      <c r="R100" s="12"/>
    </row>
    <row r="101" customFormat="false" ht="15" hidden="false" customHeight="false" outlineLevel="0" collapsed="false">
      <c r="E101" s="12"/>
      <c r="F101" s="12"/>
      <c r="G101" s="13"/>
      <c r="R101" s="12"/>
    </row>
    <row r="102" customFormat="false" ht="15" hidden="false" customHeight="false" outlineLevel="0" collapsed="false">
      <c r="E102" s="12"/>
      <c r="F102" s="12"/>
      <c r="G102" s="13"/>
      <c r="R102" s="12"/>
    </row>
    <row r="103" customFormat="false" ht="15" hidden="false" customHeight="false" outlineLevel="0" collapsed="false">
      <c r="E103" s="12"/>
      <c r="F103" s="12"/>
      <c r="G103" s="13"/>
      <c r="R103" s="12"/>
    </row>
    <row r="104" customFormat="false" ht="15" hidden="false" customHeight="false" outlineLevel="0" collapsed="false">
      <c r="E104" s="12"/>
      <c r="F104" s="12"/>
      <c r="G104" s="13"/>
      <c r="R104" s="12"/>
    </row>
    <row r="105" customFormat="false" ht="15" hidden="false" customHeight="false" outlineLevel="0" collapsed="false">
      <c r="E105" s="12"/>
      <c r="F105" s="12"/>
      <c r="G105" s="13"/>
      <c r="R105" s="12"/>
    </row>
    <row r="106" customFormat="false" ht="15" hidden="false" customHeight="false" outlineLevel="0" collapsed="false">
      <c r="E106" s="12"/>
      <c r="F106" s="12"/>
      <c r="G106" s="13"/>
      <c r="R106" s="12"/>
    </row>
    <row r="107" customFormat="false" ht="15" hidden="false" customHeight="false" outlineLevel="0" collapsed="false">
      <c r="E107" s="12"/>
      <c r="F107" s="12"/>
      <c r="G107" s="13"/>
      <c r="R107" s="12"/>
    </row>
    <row r="108" customFormat="false" ht="15" hidden="false" customHeight="false" outlineLevel="0" collapsed="false">
      <c r="E108" s="12"/>
      <c r="F108" s="12"/>
      <c r="G108" s="13"/>
      <c r="R108" s="12"/>
    </row>
    <row r="109" customFormat="false" ht="15" hidden="false" customHeight="false" outlineLevel="0" collapsed="false">
      <c r="E109" s="12"/>
      <c r="F109" s="12"/>
      <c r="G109" s="13"/>
      <c r="R109" s="12"/>
    </row>
    <row r="110" customFormat="false" ht="15" hidden="false" customHeight="false" outlineLevel="0" collapsed="false">
      <c r="E110" s="12"/>
      <c r="F110" s="12"/>
      <c r="G110" s="13"/>
      <c r="R110" s="12"/>
    </row>
    <row r="111" customFormat="false" ht="15" hidden="false" customHeight="false" outlineLevel="0" collapsed="false">
      <c r="E111" s="12"/>
      <c r="F111" s="12"/>
      <c r="G111" s="13"/>
      <c r="R111" s="12"/>
    </row>
    <row r="112" customFormat="false" ht="15" hidden="false" customHeight="false" outlineLevel="0" collapsed="false">
      <c r="E112" s="12"/>
      <c r="F112" s="12"/>
      <c r="G112" s="13"/>
      <c r="R112" s="12"/>
    </row>
    <row r="113" customFormat="false" ht="15" hidden="false" customHeight="false" outlineLevel="0" collapsed="false">
      <c r="E113" s="12"/>
      <c r="F113" s="12"/>
      <c r="G113" s="13"/>
      <c r="R113" s="12"/>
    </row>
    <row r="114" customFormat="false" ht="15" hidden="false" customHeight="false" outlineLevel="0" collapsed="false">
      <c r="E114" s="12"/>
      <c r="F114" s="12"/>
      <c r="G114" s="13"/>
      <c r="R114" s="12"/>
    </row>
    <row r="115" customFormat="false" ht="15" hidden="false" customHeight="false" outlineLevel="0" collapsed="false">
      <c r="E115" s="12"/>
      <c r="F115" s="12"/>
      <c r="G115" s="13"/>
      <c r="R115" s="12"/>
    </row>
    <row r="116" customFormat="false" ht="15" hidden="false" customHeight="false" outlineLevel="0" collapsed="false">
      <c r="E116" s="12"/>
      <c r="F116" s="12"/>
      <c r="G116" s="13"/>
      <c r="R116" s="12"/>
    </row>
    <row r="117" customFormat="false" ht="15" hidden="false" customHeight="false" outlineLevel="0" collapsed="false">
      <c r="E117" s="12"/>
      <c r="F117" s="12"/>
      <c r="G117" s="13"/>
      <c r="R117" s="12"/>
    </row>
    <row r="118" customFormat="false" ht="15" hidden="false" customHeight="false" outlineLevel="0" collapsed="false">
      <c r="E118" s="12"/>
      <c r="F118" s="12"/>
      <c r="G118" s="13"/>
      <c r="R118" s="12"/>
    </row>
    <row r="119" customFormat="false" ht="15" hidden="false" customHeight="false" outlineLevel="0" collapsed="false">
      <c r="E119" s="12"/>
      <c r="F119" s="12"/>
      <c r="G119" s="13"/>
      <c r="R119" s="12"/>
    </row>
    <row r="120" customFormat="false" ht="15" hidden="false" customHeight="false" outlineLevel="0" collapsed="false">
      <c r="E120" s="12"/>
      <c r="F120" s="12"/>
      <c r="G120" s="13"/>
      <c r="R120" s="12"/>
    </row>
    <row r="121" customFormat="false" ht="15" hidden="false" customHeight="false" outlineLevel="0" collapsed="false">
      <c r="E121" s="12"/>
      <c r="F121" s="12"/>
      <c r="G121" s="13"/>
      <c r="R121" s="12"/>
    </row>
    <row r="122" customFormat="false" ht="15" hidden="false" customHeight="false" outlineLevel="0" collapsed="false">
      <c r="E122" s="12"/>
      <c r="F122" s="12"/>
      <c r="G122" s="13"/>
      <c r="R122" s="12"/>
    </row>
    <row r="123" customFormat="false" ht="15" hidden="false" customHeight="false" outlineLevel="0" collapsed="false">
      <c r="E123" s="12"/>
      <c r="F123" s="12"/>
      <c r="G123" s="13"/>
      <c r="R123" s="12"/>
    </row>
    <row r="124" customFormat="false" ht="15" hidden="false" customHeight="false" outlineLevel="0" collapsed="false">
      <c r="E124" s="12"/>
      <c r="F124" s="12"/>
      <c r="G124" s="13"/>
      <c r="R124" s="12"/>
    </row>
    <row r="125" customFormat="false" ht="15" hidden="false" customHeight="false" outlineLevel="0" collapsed="false">
      <c r="E125" s="12"/>
      <c r="F125" s="12"/>
      <c r="G125" s="13"/>
      <c r="R125" s="12"/>
    </row>
    <row r="126" customFormat="false" ht="15" hidden="false" customHeight="false" outlineLevel="0" collapsed="false">
      <c r="E126" s="12"/>
      <c r="F126" s="12"/>
      <c r="G126" s="13"/>
      <c r="R126" s="12"/>
    </row>
    <row r="127" customFormat="false" ht="15" hidden="false" customHeight="false" outlineLevel="0" collapsed="false">
      <c r="E127" s="12"/>
      <c r="F127" s="12"/>
      <c r="G127" s="13"/>
      <c r="R127" s="12"/>
    </row>
    <row r="128" customFormat="false" ht="15" hidden="false" customHeight="false" outlineLevel="0" collapsed="false">
      <c r="E128" s="12"/>
      <c r="F128" s="12"/>
      <c r="G128" s="13"/>
      <c r="R128" s="12"/>
    </row>
    <row r="129" customFormat="false" ht="15" hidden="false" customHeight="false" outlineLevel="0" collapsed="false">
      <c r="E129" s="12"/>
      <c r="F129" s="12"/>
      <c r="G129" s="13"/>
      <c r="R129" s="12"/>
    </row>
    <row r="130" customFormat="false" ht="15" hidden="false" customHeight="false" outlineLevel="0" collapsed="false">
      <c r="E130" s="12"/>
      <c r="F130" s="12"/>
      <c r="G130" s="13"/>
      <c r="R130" s="12"/>
    </row>
    <row r="131" customFormat="false" ht="15" hidden="false" customHeight="false" outlineLevel="0" collapsed="false">
      <c r="E131" s="12"/>
      <c r="F131" s="12"/>
      <c r="G131" s="13"/>
      <c r="R131" s="12"/>
    </row>
    <row r="132" customFormat="false" ht="15" hidden="false" customHeight="false" outlineLevel="0" collapsed="false">
      <c r="E132" s="12"/>
      <c r="F132" s="12"/>
      <c r="G132" s="13"/>
      <c r="R132" s="12"/>
    </row>
    <row r="133" customFormat="false" ht="15" hidden="false" customHeight="false" outlineLevel="0" collapsed="false">
      <c r="E133" s="12"/>
      <c r="F133" s="12"/>
      <c r="G133" s="13"/>
      <c r="R133" s="12"/>
    </row>
    <row r="134" customFormat="false" ht="15" hidden="false" customHeight="false" outlineLevel="0" collapsed="false">
      <c r="E134" s="12"/>
      <c r="F134" s="12"/>
      <c r="G134" s="13"/>
      <c r="R134" s="12"/>
    </row>
    <row r="135" customFormat="false" ht="15" hidden="false" customHeight="false" outlineLevel="0" collapsed="false">
      <c r="E135" s="12"/>
      <c r="F135" s="12"/>
      <c r="G135" s="13"/>
      <c r="R135" s="12"/>
    </row>
    <row r="136" customFormat="false" ht="15" hidden="false" customHeight="false" outlineLevel="0" collapsed="false">
      <c r="E136" s="12"/>
      <c r="F136" s="12"/>
      <c r="G136" s="13"/>
      <c r="R136" s="12"/>
    </row>
    <row r="137" customFormat="false" ht="15" hidden="false" customHeight="false" outlineLevel="0" collapsed="false">
      <c r="E137" s="12"/>
      <c r="F137" s="12"/>
      <c r="G137" s="13"/>
      <c r="R137" s="12"/>
    </row>
    <row r="138" customFormat="false" ht="15" hidden="false" customHeight="false" outlineLevel="0" collapsed="false">
      <c r="E138" s="12"/>
      <c r="F138" s="12"/>
      <c r="G138" s="13"/>
      <c r="R138" s="12"/>
    </row>
    <row r="139" customFormat="false" ht="15" hidden="false" customHeight="false" outlineLevel="0" collapsed="false">
      <c r="E139" s="12"/>
      <c r="F139" s="12"/>
      <c r="G139" s="13"/>
      <c r="R139" s="12"/>
    </row>
    <row r="140" customFormat="false" ht="15" hidden="false" customHeight="false" outlineLevel="0" collapsed="false">
      <c r="E140" s="12"/>
      <c r="F140" s="12"/>
      <c r="G140" s="13"/>
      <c r="R140" s="12"/>
    </row>
    <row r="141" customFormat="false" ht="15" hidden="false" customHeight="false" outlineLevel="0" collapsed="false">
      <c r="E141" s="12"/>
      <c r="F141" s="12"/>
      <c r="G141" s="13"/>
      <c r="R141" s="12"/>
    </row>
    <row r="142" customFormat="false" ht="15" hidden="false" customHeight="false" outlineLevel="0" collapsed="false">
      <c r="E142" s="12"/>
      <c r="F142" s="12"/>
      <c r="G142" s="13"/>
      <c r="R142" s="12"/>
    </row>
    <row r="143" customFormat="false" ht="15" hidden="false" customHeight="false" outlineLevel="0" collapsed="false">
      <c r="E143" s="12"/>
      <c r="F143" s="12"/>
      <c r="G143" s="13"/>
      <c r="R143" s="12"/>
    </row>
    <row r="144" customFormat="false" ht="15" hidden="false" customHeight="false" outlineLevel="0" collapsed="false">
      <c r="E144" s="12"/>
      <c r="F144" s="12"/>
      <c r="G144" s="13"/>
      <c r="R144" s="12"/>
    </row>
    <row r="145" customFormat="false" ht="15" hidden="false" customHeight="false" outlineLevel="0" collapsed="false">
      <c r="E145" s="12"/>
      <c r="F145" s="12"/>
      <c r="G145" s="13"/>
      <c r="R145" s="12"/>
    </row>
    <row r="146" customFormat="false" ht="15" hidden="false" customHeight="false" outlineLevel="0" collapsed="false">
      <c r="E146" s="12"/>
      <c r="F146" s="12"/>
      <c r="G146" s="13"/>
      <c r="R146" s="12"/>
    </row>
    <row r="147" customFormat="false" ht="15" hidden="false" customHeight="false" outlineLevel="0" collapsed="false">
      <c r="E147" s="12"/>
      <c r="F147" s="12"/>
      <c r="G147" s="13"/>
      <c r="R147" s="12"/>
    </row>
    <row r="148" customFormat="false" ht="15" hidden="false" customHeight="false" outlineLevel="0" collapsed="false">
      <c r="E148" s="12"/>
      <c r="F148" s="12"/>
      <c r="G148" s="13"/>
      <c r="R148" s="12"/>
    </row>
    <row r="149" customFormat="false" ht="15" hidden="false" customHeight="false" outlineLevel="0" collapsed="false">
      <c r="E149" s="12"/>
      <c r="F149" s="12"/>
      <c r="G149" s="13"/>
      <c r="R149" s="12"/>
    </row>
    <row r="150" customFormat="false" ht="15" hidden="false" customHeight="false" outlineLevel="0" collapsed="false">
      <c r="E150" s="12"/>
      <c r="F150" s="12"/>
      <c r="G150" s="13"/>
      <c r="R150" s="12"/>
    </row>
    <row r="151" customFormat="false" ht="15" hidden="false" customHeight="false" outlineLevel="0" collapsed="false">
      <c r="E151" s="12"/>
      <c r="F151" s="12"/>
      <c r="G151" s="13"/>
      <c r="R151" s="12"/>
    </row>
    <row r="152" customFormat="false" ht="15" hidden="false" customHeight="false" outlineLevel="0" collapsed="false">
      <c r="E152" s="12"/>
      <c r="F152" s="12"/>
      <c r="G152" s="13"/>
      <c r="R152" s="12"/>
    </row>
    <row r="153" customFormat="false" ht="15" hidden="false" customHeight="false" outlineLevel="0" collapsed="false">
      <c r="E153" s="12"/>
      <c r="F153" s="12"/>
      <c r="G153" s="13"/>
      <c r="R153" s="12"/>
    </row>
    <row r="154" customFormat="false" ht="15" hidden="false" customHeight="false" outlineLevel="0" collapsed="false">
      <c r="E154" s="12"/>
      <c r="F154" s="12"/>
      <c r="G154" s="13"/>
      <c r="R154" s="12"/>
    </row>
    <row r="155" customFormat="false" ht="15" hidden="false" customHeight="false" outlineLevel="0" collapsed="false">
      <c r="E155" s="12"/>
      <c r="F155" s="12"/>
      <c r="G155" s="13"/>
      <c r="R155" s="12"/>
    </row>
    <row r="156" customFormat="false" ht="15" hidden="false" customHeight="false" outlineLevel="0" collapsed="false">
      <c r="E156" s="12"/>
      <c r="F156" s="12"/>
      <c r="G156" s="13"/>
      <c r="R156" s="12"/>
    </row>
    <row r="157" customFormat="false" ht="15" hidden="false" customHeight="false" outlineLevel="0" collapsed="false">
      <c r="E157" s="12"/>
      <c r="F157" s="12"/>
      <c r="G157" s="13"/>
      <c r="R157" s="12"/>
    </row>
    <row r="158" customFormat="false" ht="15" hidden="false" customHeight="false" outlineLevel="0" collapsed="false">
      <c r="E158" s="12"/>
      <c r="F158" s="12"/>
      <c r="G158" s="13"/>
      <c r="R158" s="12"/>
    </row>
    <row r="159" customFormat="false" ht="15" hidden="false" customHeight="false" outlineLevel="0" collapsed="false">
      <c r="E159" s="12"/>
      <c r="F159" s="12"/>
      <c r="G159" s="13"/>
      <c r="R159" s="12"/>
    </row>
    <row r="160" customFormat="false" ht="15" hidden="false" customHeight="false" outlineLevel="0" collapsed="false">
      <c r="E160" s="12"/>
      <c r="F160" s="12"/>
      <c r="G160" s="13"/>
      <c r="R160" s="12"/>
    </row>
    <row r="161" customFormat="false" ht="15" hidden="false" customHeight="false" outlineLevel="0" collapsed="false">
      <c r="E161" s="12"/>
      <c r="F161" s="12"/>
      <c r="G161" s="13"/>
      <c r="R161" s="12"/>
    </row>
    <row r="162" customFormat="false" ht="15" hidden="false" customHeight="false" outlineLevel="0" collapsed="false">
      <c r="E162" s="12"/>
      <c r="F162" s="12"/>
      <c r="G162" s="13"/>
      <c r="R162" s="12"/>
    </row>
    <row r="163" customFormat="false" ht="15" hidden="false" customHeight="false" outlineLevel="0" collapsed="false">
      <c r="E163" s="12"/>
      <c r="F163" s="12"/>
      <c r="G163" s="13"/>
      <c r="R163" s="12"/>
    </row>
    <row r="164" customFormat="false" ht="15" hidden="false" customHeight="false" outlineLevel="0" collapsed="false">
      <c r="E164" s="12"/>
      <c r="F164" s="12"/>
      <c r="G164" s="13"/>
      <c r="R164" s="12"/>
    </row>
    <row r="165" customFormat="false" ht="15" hidden="false" customHeight="false" outlineLevel="0" collapsed="false">
      <c r="E165" s="12"/>
      <c r="F165" s="12"/>
      <c r="G165" s="13"/>
      <c r="R165" s="12"/>
    </row>
    <row r="166" customFormat="false" ht="15" hidden="false" customHeight="false" outlineLevel="0" collapsed="false">
      <c r="E166" s="12"/>
      <c r="F166" s="12"/>
      <c r="G166" s="13"/>
      <c r="R166" s="12"/>
    </row>
    <row r="167" customFormat="false" ht="15" hidden="false" customHeight="false" outlineLevel="0" collapsed="false">
      <c r="E167" s="12"/>
      <c r="F167" s="12"/>
      <c r="G167" s="13"/>
      <c r="R167" s="12"/>
    </row>
    <row r="168" customFormat="false" ht="15" hidden="false" customHeight="false" outlineLevel="0" collapsed="false">
      <c r="E168" s="12"/>
      <c r="F168" s="12"/>
      <c r="G168" s="13"/>
      <c r="R168" s="12"/>
    </row>
    <row r="169" customFormat="false" ht="15" hidden="false" customHeight="false" outlineLevel="0" collapsed="false">
      <c r="E169" s="12"/>
      <c r="F169" s="12"/>
      <c r="G169" s="13"/>
      <c r="R169" s="12"/>
    </row>
    <row r="170" customFormat="false" ht="15" hidden="false" customHeight="false" outlineLevel="0" collapsed="false">
      <c r="E170" s="12"/>
      <c r="F170" s="12"/>
      <c r="G170" s="13"/>
      <c r="R170" s="12"/>
    </row>
    <row r="171" customFormat="false" ht="15" hidden="false" customHeight="false" outlineLevel="0" collapsed="false">
      <c r="E171" s="12"/>
      <c r="F171" s="12"/>
      <c r="G171" s="13"/>
      <c r="R171" s="12"/>
    </row>
    <row r="172" customFormat="false" ht="15" hidden="false" customHeight="false" outlineLevel="0" collapsed="false">
      <c r="E172" s="12"/>
      <c r="F172" s="12"/>
      <c r="G172" s="13"/>
      <c r="R172" s="12"/>
    </row>
    <row r="173" customFormat="false" ht="15" hidden="false" customHeight="false" outlineLevel="0" collapsed="false">
      <c r="E173" s="12"/>
      <c r="F173" s="12"/>
      <c r="G173" s="13"/>
      <c r="R173" s="12"/>
    </row>
    <row r="174" customFormat="false" ht="15" hidden="false" customHeight="false" outlineLevel="0" collapsed="false">
      <c r="E174" s="12"/>
      <c r="F174" s="12"/>
      <c r="G174" s="13"/>
      <c r="R174" s="12"/>
    </row>
    <row r="175" customFormat="false" ht="15" hidden="false" customHeight="false" outlineLevel="0" collapsed="false">
      <c r="E175" s="12"/>
      <c r="F175" s="12"/>
      <c r="G175" s="13"/>
      <c r="R175" s="12"/>
    </row>
    <row r="176" customFormat="false" ht="15" hidden="false" customHeight="false" outlineLevel="0" collapsed="false">
      <c r="E176" s="12"/>
      <c r="F176" s="12"/>
      <c r="G176" s="13"/>
      <c r="R176" s="12"/>
    </row>
    <row r="177" customFormat="false" ht="15" hidden="false" customHeight="false" outlineLevel="0" collapsed="false">
      <c r="E177" s="12"/>
      <c r="F177" s="12"/>
      <c r="G177" s="13"/>
      <c r="R177" s="12"/>
    </row>
    <row r="178" customFormat="false" ht="15" hidden="false" customHeight="false" outlineLevel="0" collapsed="false">
      <c r="E178" s="12"/>
      <c r="F178" s="12"/>
      <c r="G178" s="13"/>
      <c r="R178" s="12"/>
    </row>
    <row r="179" customFormat="false" ht="15" hidden="false" customHeight="false" outlineLevel="0" collapsed="false">
      <c r="E179" s="12"/>
      <c r="F179" s="12"/>
      <c r="G179" s="13"/>
      <c r="R179" s="12"/>
    </row>
    <row r="180" customFormat="false" ht="15" hidden="false" customHeight="false" outlineLevel="0" collapsed="false">
      <c r="E180" s="12"/>
      <c r="F180" s="12"/>
      <c r="G180" s="13"/>
      <c r="R180" s="12"/>
    </row>
    <row r="181" customFormat="false" ht="15" hidden="false" customHeight="false" outlineLevel="0" collapsed="false">
      <c r="E181" s="12"/>
      <c r="F181" s="12"/>
      <c r="G181" s="13"/>
      <c r="R181" s="12"/>
    </row>
    <row r="182" customFormat="false" ht="15" hidden="false" customHeight="false" outlineLevel="0" collapsed="false">
      <c r="E182" s="12"/>
      <c r="F182" s="12"/>
      <c r="G182" s="13"/>
      <c r="R182" s="12"/>
    </row>
    <row r="183" customFormat="false" ht="15" hidden="false" customHeight="false" outlineLevel="0" collapsed="false">
      <c r="E183" s="12"/>
      <c r="F183" s="12"/>
      <c r="G183" s="13"/>
      <c r="R183" s="12"/>
    </row>
    <row r="184" customFormat="false" ht="15" hidden="false" customHeight="false" outlineLevel="0" collapsed="false">
      <c r="E184" s="12"/>
      <c r="F184" s="12"/>
      <c r="G184" s="13"/>
      <c r="R184" s="12"/>
    </row>
    <row r="185" customFormat="false" ht="15" hidden="false" customHeight="false" outlineLevel="0" collapsed="false">
      <c r="E185" s="12"/>
      <c r="F185" s="12"/>
      <c r="G185" s="13"/>
      <c r="R185" s="12"/>
    </row>
    <row r="186" customFormat="false" ht="15" hidden="false" customHeight="false" outlineLevel="0" collapsed="false">
      <c r="E186" s="12"/>
      <c r="F186" s="12"/>
      <c r="G186" s="13"/>
      <c r="R186" s="12"/>
    </row>
    <row r="187" customFormat="false" ht="15" hidden="false" customHeight="false" outlineLevel="0" collapsed="false">
      <c r="E187" s="12"/>
      <c r="F187" s="12"/>
      <c r="G187" s="13"/>
      <c r="R187" s="12"/>
    </row>
    <row r="188" customFormat="false" ht="15" hidden="false" customHeight="false" outlineLevel="0" collapsed="false">
      <c r="E188" s="12"/>
      <c r="F188" s="12"/>
      <c r="G188" s="13"/>
      <c r="R188" s="12"/>
    </row>
    <row r="189" customFormat="false" ht="15" hidden="false" customHeight="false" outlineLevel="0" collapsed="false">
      <c r="E189" s="12"/>
      <c r="F189" s="12"/>
      <c r="G189" s="13"/>
      <c r="R189" s="12"/>
    </row>
    <row r="190" customFormat="false" ht="15" hidden="false" customHeight="false" outlineLevel="0" collapsed="false">
      <c r="E190" s="12"/>
      <c r="F190" s="12"/>
      <c r="G190" s="13"/>
      <c r="R190" s="12"/>
    </row>
    <row r="191" customFormat="false" ht="15" hidden="false" customHeight="false" outlineLevel="0" collapsed="false">
      <c r="E191" s="12"/>
      <c r="F191" s="12"/>
      <c r="G191" s="13"/>
      <c r="R191" s="12"/>
    </row>
    <row r="192" customFormat="false" ht="15" hidden="false" customHeight="false" outlineLevel="0" collapsed="false">
      <c r="E192" s="12"/>
      <c r="F192" s="12"/>
      <c r="G192" s="13"/>
      <c r="R192" s="12"/>
    </row>
    <row r="193" customFormat="false" ht="15" hidden="false" customHeight="false" outlineLevel="0" collapsed="false">
      <c r="E193" s="12"/>
      <c r="F193" s="12"/>
      <c r="G193" s="13"/>
      <c r="R193" s="12"/>
    </row>
    <row r="194" customFormat="false" ht="15" hidden="false" customHeight="false" outlineLevel="0" collapsed="false">
      <c r="E194" s="12"/>
      <c r="F194" s="12"/>
      <c r="G194" s="13"/>
      <c r="R194" s="12"/>
    </row>
    <row r="195" customFormat="false" ht="15" hidden="false" customHeight="false" outlineLevel="0" collapsed="false">
      <c r="E195" s="12"/>
      <c r="F195" s="12"/>
      <c r="G195" s="13"/>
      <c r="R195" s="12"/>
    </row>
    <row r="196" customFormat="false" ht="15" hidden="false" customHeight="false" outlineLevel="0" collapsed="false">
      <c r="E196" s="12"/>
      <c r="F196" s="12"/>
      <c r="G196" s="13"/>
      <c r="R196" s="12"/>
    </row>
    <row r="197" customFormat="false" ht="15" hidden="false" customHeight="false" outlineLevel="0" collapsed="false">
      <c r="E197" s="12"/>
      <c r="F197" s="12"/>
      <c r="G197" s="13"/>
      <c r="R197" s="12"/>
    </row>
    <row r="198" customFormat="false" ht="15" hidden="false" customHeight="false" outlineLevel="0" collapsed="false">
      <c r="E198" s="12"/>
      <c r="F198" s="12"/>
      <c r="G198" s="13"/>
      <c r="R198" s="12"/>
    </row>
    <row r="199" customFormat="false" ht="15" hidden="false" customHeight="false" outlineLevel="0" collapsed="false">
      <c r="E199" s="12"/>
      <c r="F199" s="12"/>
      <c r="G199" s="13"/>
      <c r="R199" s="12"/>
    </row>
    <row r="200" customFormat="false" ht="15" hidden="false" customHeight="false" outlineLevel="0" collapsed="false">
      <c r="E200" s="12"/>
      <c r="F200" s="12"/>
      <c r="G200" s="13"/>
      <c r="R200" s="12"/>
    </row>
    <row r="201" customFormat="false" ht="15" hidden="false" customHeight="false" outlineLevel="0" collapsed="false">
      <c r="E201" s="12"/>
      <c r="F201" s="12"/>
      <c r="G201" s="13"/>
      <c r="R201" s="12"/>
    </row>
    <row r="202" customFormat="false" ht="15" hidden="false" customHeight="false" outlineLevel="0" collapsed="false">
      <c r="E202" s="12"/>
      <c r="F202" s="12"/>
      <c r="G202" s="13"/>
      <c r="R202" s="12"/>
    </row>
    <row r="203" customFormat="false" ht="15" hidden="false" customHeight="false" outlineLevel="0" collapsed="false">
      <c r="E203" s="12"/>
      <c r="F203" s="12"/>
      <c r="G203" s="13"/>
      <c r="R203" s="12"/>
    </row>
    <row r="204" customFormat="false" ht="15" hidden="false" customHeight="false" outlineLevel="0" collapsed="false">
      <c r="E204" s="12"/>
      <c r="F204" s="12"/>
      <c r="G204" s="13"/>
      <c r="R204" s="12"/>
    </row>
    <row r="205" customFormat="false" ht="15" hidden="false" customHeight="false" outlineLevel="0" collapsed="false">
      <c r="E205" s="12"/>
      <c r="F205" s="12"/>
      <c r="G205" s="13"/>
      <c r="R205" s="12"/>
    </row>
    <row r="206" customFormat="false" ht="15" hidden="false" customHeight="false" outlineLevel="0" collapsed="false">
      <c r="E206" s="12"/>
      <c r="F206" s="12"/>
      <c r="G206" s="13"/>
      <c r="R206" s="12"/>
    </row>
    <row r="207" customFormat="false" ht="15" hidden="false" customHeight="false" outlineLevel="0" collapsed="false">
      <c r="E207" s="12"/>
      <c r="F207" s="12"/>
      <c r="G207" s="13"/>
      <c r="R207" s="12"/>
    </row>
    <row r="208" customFormat="false" ht="15" hidden="false" customHeight="false" outlineLevel="0" collapsed="false">
      <c r="E208" s="12"/>
      <c r="F208" s="12"/>
      <c r="G208" s="13"/>
      <c r="R208" s="12"/>
    </row>
    <row r="209" customFormat="false" ht="15" hidden="false" customHeight="false" outlineLevel="0" collapsed="false">
      <c r="E209" s="12"/>
      <c r="F209" s="12"/>
      <c r="G209" s="13"/>
      <c r="R209" s="12"/>
    </row>
    <row r="210" customFormat="false" ht="15" hidden="false" customHeight="false" outlineLevel="0" collapsed="false">
      <c r="E210" s="12"/>
      <c r="F210" s="12"/>
      <c r="G210" s="13"/>
      <c r="R210" s="12"/>
    </row>
    <row r="211" customFormat="false" ht="15" hidden="false" customHeight="false" outlineLevel="0" collapsed="false">
      <c r="E211" s="12"/>
      <c r="F211" s="12"/>
      <c r="G211" s="13"/>
      <c r="R211" s="12"/>
    </row>
    <row r="212" customFormat="false" ht="15" hidden="false" customHeight="false" outlineLevel="0" collapsed="false">
      <c r="E212" s="12"/>
      <c r="F212" s="12"/>
      <c r="G212" s="13"/>
      <c r="R212" s="12"/>
    </row>
    <row r="213" customFormat="false" ht="15" hidden="false" customHeight="false" outlineLevel="0" collapsed="false">
      <c r="E213" s="12"/>
      <c r="F213" s="12"/>
      <c r="G213" s="13"/>
      <c r="R213" s="12"/>
    </row>
    <row r="214" customFormat="false" ht="15" hidden="false" customHeight="false" outlineLevel="0" collapsed="false">
      <c r="E214" s="12"/>
      <c r="F214" s="12"/>
      <c r="G214" s="13"/>
      <c r="R214" s="12"/>
    </row>
    <row r="215" customFormat="false" ht="15" hidden="false" customHeight="false" outlineLevel="0" collapsed="false">
      <c r="E215" s="12"/>
      <c r="F215" s="12"/>
      <c r="G215" s="13"/>
      <c r="R215" s="12"/>
    </row>
    <row r="216" customFormat="false" ht="15" hidden="false" customHeight="false" outlineLevel="0" collapsed="false">
      <c r="E216" s="12"/>
      <c r="F216" s="12"/>
      <c r="G216" s="13"/>
      <c r="R216" s="12"/>
    </row>
    <row r="217" customFormat="false" ht="15" hidden="false" customHeight="false" outlineLevel="0" collapsed="false">
      <c r="E217" s="12"/>
      <c r="F217" s="12"/>
      <c r="G217" s="13"/>
      <c r="R217" s="12"/>
    </row>
    <row r="218" customFormat="false" ht="15" hidden="false" customHeight="false" outlineLevel="0" collapsed="false">
      <c r="E218" s="12"/>
      <c r="F218" s="12"/>
      <c r="G218" s="13"/>
      <c r="R218" s="12"/>
    </row>
    <row r="219" customFormat="false" ht="15" hidden="false" customHeight="false" outlineLevel="0" collapsed="false">
      <c r="E219" s="12"/>
      <c r="F219" s="12"/>
      <c r="G219" s="13"/>
      <c r="R219" s="12"/>
    </row>
    <row r="220" customFormat="false" ht="15" hidden="false" customHeight="false" outlineLevel="0" collapsed="false">
      <c r="E220" s="12"/>
      <c r="F220" s="12"/>
      <c r="G220" s="13"/>
      <c r="R220" s="12"/>
    </row>
    <row r="221" customFormat="false" ht="15" hidden="false" customHeight="false" outlineLevel="0" collapsed="false">
      <c r="E221" s="12"/>
      <c r="F221" s="12"/>
      <c r="G221" s="13"/>
      <c r="R221" s="12"/>
    </row>
    <row r="222" customFormat="false" ht="15" hidden="false" customHeight="false" outlineLevel="0" collapsed="false">
      <c r="E222" s="12"/>
      <c r="F222" s="12"/>
      <c r="G222" s="13"/>
      <c r="R222" s="12"/>
    </row>
    <row r="223" customFormat="false" ht="15" hidden="false" customHeight="false" outlineLevel="0" collapsed="false">
      <c r="E223" s="12"/>
      <c r="F223" s="12"/>
      <c r="G223" s="13"/>
      <c r="R223" s="12"/>
    </row>
    <row r="224" customFormat="false" ht="15" hidden="false" customHeight="false" outlineLevel="0" collapsed="false">
      <c r="E224" s="12"/>
      <c r="F224" s="12"/>
      <c r="G224" s="13"/>
      <c r="R224" s="12"/>
    </row>
    <row r="225" customFormat="false" ht="15" hidden="false" customHeight="false" outlineLevel="0" collapsed="false">
      <c r="E225" s="12"/>
      <c r="F225" s="12"/>
      <c r="G225" s="13"/>
      <c r="R225" s="12"/>
    </row>
    <row r="226" customFormat="false" ht="15" hidden="false" customHeight="false" outlineLevel="0" collapsed="false">
      <c r="E226" s="12"/>
      <c r="F226" s="12"/>
      <c r="G226" s="13"/>
      <c r="R226" s="12"/>
    </row>
    <row r="227" customFormat="false" ht="15" hidden="false" customHeight="false" outlineLevel="0" collapsed="false">
      <c r="E227" s="12"/>
      <c r="F227" s="12"/>
      <c r="G227" s="13"/>
      <c r="R227" s="12"/>
    </row>
    <row r="228" customFormat="false" ht="15" hidden="false" customHeight="false" outlineLevel="0" collapsed="false">
      <c r="E228" s="12"/>
      <c r="F228" s="12"/>
      <c r="G228" s="13"/>
      <c r="R228" s="12"/>
    </row>
    <row r="229" customFormat="false" ht="15" hidden="false" customHeight="false" outlineLevel="0" collapsed="false">
      <c r="E229" s="12"/>
      <c r="F229" s="12"/>
      <c r="G229" s="13"/>
      <c r="R229" s="12"/>
    </row>
    <row r="230" customFormat="false" ht="15" hidden="false" customHeight="false" outlineLevel="0" collapsed="false">
      <c r="E230" s="12"/>
      <c r="F230" s="12"/>
      <c r="G230" s="13"/>
      <c r="R230" s="12"/>
    </row>
    <row r="231" customFormat="false" ht="15" hidden="false" customHeight="false" outlineLevel="0" collapsed="false">
      <c r="E231" s="12"/>
      <c r="F231" s="12"/>
      <c r="G231" s="13"/>
      <c r="R231" s="12"/>
    </row>
    <row r="232" customFormat="false" ht="15" hidden="false" customHeight="false" outlineLevel="0" collapsed="false">
      <c r="E232" s="12"/>
      <c r="F232" s="12"/>
      <c r="G232" s="13"/>
      <c r="R232" s="12"/>
    </row>
    <row r="233" customFormat="false" ht="15" hidden="false" customHeight="false" outlineLevel="0" collapsed="false">
      <c r="E233" s="12"/>
      <c r="F233" s="12"/>
      <c r="G233" s="13"/>
      <c r="R233" s="12"/>
    </row>
    <row r="234" customFormat="false" ht="15" hidden="false" customHeight="false" outlineLevel="0" collapsed="false">
      <c r="E234" s="12"/>
      <c r="F234" s="12"/>
      <c r="G234" s="13"/>
      <c r="R234" s="12"/>
    </row>
    <row r="235" customFormat="false" ht="15" hidden="false" customHeight="false" outlineLevel="0" collapsed="false">
      <c r="E235" s="12"/>
      <c r="F235" s="12"/>
      <c r="G235" s="13"/>
      <c r="R235" s="12"/>
    </row>
    <row r="236" customFormat="false" ht="15" hidden="false" customHeight="false" outlineLevel="0" collapsed="false">
      <c r="E236" s="12"/>
      <c r="F236" s="12"/>
      <c r="G236" s="13"/>
      <c r="R236" s="12"/>
    </row>
    <row r="237" customFormat="false" ht="15" hidden="false" customHeight="false" outlineLevel="0" collapsed="false">
      <c r="E237" s="12"/>
      <c r="F237" s="12"/>
      <c r="G237" s="13"/>
      <c r="R237" s="12"/>
    </row>
    <row r="238" customFormat="false" ht="15" hidden="false" customHeight="false" outlineLevel="0" collapsed="false">
      <c r="E238" s="12"/>
      <c r="F238" s="12"/>
      <c r="G238" s="13"/>
      <c r="R238" s="12"/>
    </row>
    <row r="239" customFormat="false" ht="15" hidden="false" customHeight="false" outlineLevel="0" collapsed="false">
      <c r="E239" s="12"/>
      <c r="F239" s="12"/>
      <c r="G239" s="13"/>
      <c r="R239" s="12"/>
    </row>
    <row r="240" customFormat="false" ht="15" hidden="false" customHeight="false" outlineLevel="0" collapsed="false">
      <c r="E240" s="12"/>
      <c r="F240" s="12"/>
      <c r="G240" s="13"/>
      <c r="R240" s="12"/>
    </row>
    <row r="241" customFormat="false" ht="15" hidden="false" customHeight="false" outlineLevel="0" collapsed="false">
      <c r="E241" s="12"/>
      <c r="F241" s="12"/>
      <c r="G241" s="13"/>
      <c r="R241" s="12"/>
    </row>
    <row r="242" customFormat="false" ht="15" hidden="false" customHeight="false" outlineLevel="0" collapsed="false">
      <c r="E242" s="12"/>
      <c r="F242" s="12"/>
      <c r="G242" s="13"/>
      <c r="R242" s="12"/>
    </row>
    <row r="243" customFormat="false" ht="15" hidden="false" customHeight="false" outlineLevel="0" collapsed="false">
      <c r="E243" s="12"/>
      <c r="F243" s="12"/>
      <c r="G243" s="13"/>
      <c r="R243" s="12"/>
    </row>
    <row r="244" customFormat="false" ht="15" hidden="false" customHeight="false" outlineLevel="0" collapsed="false">
      <c r="E244" s="12"/>
      <c r="F244" s="12"/>
      <c r="G244" s="13"/>
      <c r="R244" s="12"/>
    </row>
    <row r="245" customFormat="false" ht="15" hidden="false" customHeight="false" outlineLevel="0" collapsed="false">
      <c r="E245" s="12"/>
      <c r="F245" s="12"/>
      <c r="G245" s="13"/>
      <c r="R245" s="12"/>
    </row>
    <row r="246" customFormat="false" ht="15" hidden="false" customHeight="false" outlineLevel="0" collapsed="false">
      <c r="E246" s="12"/>
      <c r="F246" s="12"/>
      <c r="G246" s="13"/>
      <c r="R246" s="12"/>
    </row>
    <row r="247" customFormat="false" ht="15" hidden="false" customHeight="false" outlineLevel="0" collapsed="false">
      <c r="E247" s="12"/>
      <c r="F247" s="12"/>
      <c r="G247" s="13"/>
      <c r="R247" s="12"/>
    </row>
    <row r="248" customFormat="false" ht="15" hidden="false" customHeight="false" outlineLevel="0" collapsed="false">
      <c r="E248" s="12"/>
      <c r="F248" s="12"/>
      <c r="G248" s="13"/>
      <c r="R248" s="12"/>
    </row>
    <row r="249" customFormat="false" ht="15" hidden="false" customHeight="false" outlineLevel="0" collapsed="false">
      <c r="E249" s="12"/>
      <c r="F249" s="12"/>
      <c r="G249" s="13"/>
      <c r="R249" s="12"/>
    </row>
    <row r="250" customFormat="false" ht="15" hidden="false" customHeight="false" outlineLevel="0" collapsed="false">
      <c r="E250" s="12"/>
      <c r="F250" s="12"/>
      <c r="G250" s="13"/>
      <c r="R250" s="12"/>
    </row>
    <row r="251" customFormat="false" ht="15" hidden="false" customHeight="false" outlineLevel="0" collapsed="false">
      <c r="E251" s="12"/>
      <c r="F251" s="12"/>
      <c r="G251" s="13"/>
      <c r="R251" s="12"/>
    </row>
    <row r="252" customFormat="false" ht="15" hidden="false" customHeight="false" outlineLevel="0" collapsed="false">
      <c r="E252" s="12"/>
      <c r="F252" s="12"/>
      <c r="G252" s="13"/>
      <c r="R252" s="12"/>
    </row>
    <row r="253" customFormat="false" ht="15" hidden="false" customHeight="false" outlineLevel="0" collapsed="false">
      <c r="E253" s="12"/>
      <c r="F253" s="12"/>
      <c r="G253" s="13"/>
      <c r="R253" s="12"/>
    </row>
    <row r="254" customFormat="false" ht="15" hidden="false" customHeight="false" outlineLevel="0" collapsed="false">
      <c r="E254" s="12"/>
      <c r="F254" s="12"/>
      <c r="G254" s="13"/>
      <c r="R254" s="12"/>
    </row>
    <row r="255" customFormat="false" ht="15" hidden="false" customHeight="false" outlineLevel="0" collapsed="false">
      <c r="E255" s="12"/>
      <c r="F255" s="12"/>
      <c r="G255" s="13"/>
      <c r="R255" s="12"/>
    </row>
    <row r="256" customFormat="false" ht="15" hidden="false" customHeight="false" outlineLevel="0" collapsed="false">
      <c r="E256" s="12"/>
      <c r="F256" s="12"/>
      <c r="G256" s="13"/>
      <c r="R256" s="12"/>
    </row>
    <row r="257" customFormat="false" ht="15" hidden="false" customHeight="false" outlineLevel="0" collapsed="false">
      <c r="E257" s="12"/>
      <c r="F257" s="12"/>
      <c r="G257" s="13"/>
      <c r="R257" s="12"/>
    </row>
    <row r="258" customFormat="false" ht="15" hidden="false" customHeight="false" outlineLevel="0" collapsed="false">
      <c r="E258" s="12"/>
      <c r="F258" s="12"/>
      <c r="G258" s="13"/>
      <c r="R258" s="12"/>
    </row>
    <row r="259" customFormat="false" ht="15" hidden="false" customHeight="false" outlineLevel="0" collapsed="false">
      <c r="E259" s="12"/>
      <c r="F259" s="12"/>
      <c r="G259" s="13"/>
      <c r="R259" s="12"/>
    </row>
    <row r="260" customFormat="false" ht="15" hidden="false" customHeight="false" outlineLevel="0" collapsed="false">
      <c r="E260" s="12"/>
      <c r="F260" s="12"/>
      <c r="G260" s="13"/>
      <c r="R260" s="12"/>
    </row>
    <row r="261" customFormat="false" ht="15" hidden="false" customHeight="false" outlineLevel="0" collapsed="false">
      <c r="E261" s="12"/>
      <c r="F261" s="12"/>
      <c r="G261" s="13"/>
      <c r="R261" s="12"/>
    </row>
    <row r="262" customFormat="false" ht="15" hidden="false" customHeight="false" outlineLevel="0" collapsed="false">
      <c r="E262" s="12"/>
      <c r="F262" s="12"/>
      <c r="G262" s="13"/>
      <c r="R262" s="12"/>
    </row>
    <row r="263" customFormat="false" ht="15" hidden="false" customHeight="false" outlineLevel="0" collapsed="false">
      <c r="E263" s="12"/>
      <c r="F263" s="12"/>
      <c r="G263" s="13"/>
      <c r="R263" s="12"/>
    </row>
    <row r="264" customFormat="false" ht="15" hidden="false" customHeight="false" outlineLevel="0" collapsed="false">
      <c r="E264" s="12"/>
      <c r="F264" s="12"/>
      <c r="G264" s="13"/>
      <c r="R264" s="12"/>
    </row>
    <row r="265" customFormat="false" ht="15" hidden="false" customHeight="false" outlineLevel="0" collapsed="false">
      <c r="E265" s="12"/>
      <c r="F265" s="12"/>
      <c r="G265" s="13"/>
      <c r="R265" s="12"/>
    </row>
    <row r="266" customFormat="false" ht="15" hidden="false" customHeight="false" outlineLevel="0" collapsed="false">
      <c r="E266" s="12"/>
      <c r="F266" s="12"/>
      <c r="G266" s="13"/>
      <c r="R266" s="12"/>
    </row>
    <row r="267" customFormat="false" ht="15" hidden="false" customHeight="false" outlineLevel="0" collapsed="false">
      <c r="E267" s="12"/>
      <c r="F267" s="12"/>
      <c r="G267" s="13"/>
      <c r="R267" s="12"/>
    </row>
    <row r="268" customFormat="false" ht="15" hidden="false" customHeight="false" outlineLevel="0" collapsed="false">
      <c r="E268" s="12"/>
      <c r="F268" s="12"/>
      <c r="G268" s="13"/>
      <c r="R268" s="12"/>
    </row>
    <row r="269" customFormat="false" ht="15" hidden="false" customHeight="false" outlineLevel="0" collapsed="false">
      <c r="E269" s="12"/>
      <c r="F269" s="12"/>
      <c r="G269" s="13"/>
      <c r="R269" s="12"/>
    </row>
    <row r="270" customFormat="false" ht="15" hidden="false" customHeight="false" outlineLevel="0" collapsed="false">
      <c r="E270" s="12"/>
      <c r="F270" s="12"/>
      <c r="G270" s="13"/>
      <c r="R270" s="12"/>
    </row>
    <row r="271" customFormat="false" ht="15" hidden="false" customHeight="false" outlineLevel="0" collapsed="false">
      <c r="E271" s="12"/>
      <c r="F271" s="12"/>
      <c r="G271" s="13"/>
      <c r="R271" s="12"/>
    </row>
    <row r="272" customFormat="false" ht="15" hidden="false" customHeight="false" outlineLevel="0" collapsed="false">
      <c r="E272" s="12"/>
      <c r="F272" s="12"/>
      <c r="G272" s="13"/>
      <c r="R272" s="12"/>
    </row>
    <row r="273" customFormat="false" ht="15" hidden="false" customHeight="false" outlineLevel="0" collapsed="false">
      <c r="E273" s="12"/>
      <c r="F273" s="12"/>
      <c r="G273" s="13"/>
      <c r="R273" s="12"/>
    </row>
    <row r="274" customFormat="false" ht="15" hidden="false" customHeight="false" outlineLevel="0" collapsed="false">
      <c r="E274" s="12"/>
      <c r="F274" s="12"/>
      <c r="G274" s="13"/>
      <c r="R274" s="12"/>
    </row>
    <row r="275" customFormat="false" ht="15" hidden="false" customHeight="false" outlineLevel="0" collapsed="false">
      <c r="E275" s="12"/>
      <c r="F275" s="12"/>
      <c r="G275" s="13"/>
      <c r="R275" s="12"/>
    </row>
    <row r="276" customFormat="false" ht="15" hidden="false" customHeight="false" outlineLevel="0" collapsed="false">
      <c r="E276" s="12"/>
      <c r="F276" s="12"/>
      <c r="G276" s="13"/>
      <c r="R276" s="12"/>
    </row>
    <row r="277" customFormat="false" ht="15" hidden="false" customHeight="false" outlineLevel="0" collapsed="false">
      <c r="E277" s="12"/>
      <c r="F277" s="12"/>
      <c r="G277" s="13"/>
      <c r="R277" s="12"/>
    </row>
    <row r="278" customFormat="false" ht="15" hidden="false" customHeight="false" outlineLevel="0" collapsed="false">
      <c r="E278" s="12"/>
      <c r="F278" s="12"/>
      <c r="G278" s="13"/>
      <c r="R278" s="12"/>
    </row>
    <row r="279" customFormat="false" ht="15" hidden="false" customHeight="false" outlineLevel="0" collapsed="false">
      <c r="E279" s="12"/>
      <c r="F279" s="12"/>
      <c r="G279" s="13"/>
      <c r="R279" s="12"/>
    </row>
    <row r="280" customFormat="false" ht="15" hidden="false" customHeight="false" outlineLevel="0" collapsed="false">
      <c r="E280" s="12"/>
      <c r="F280" s="12"/>
      <c r="G280" s="13"/>
      <c r="R280" s="12"/>
    </row>
    <row r="281" customFormat="false" ht="15" hidden="false" customHeight="false" outlineLevel="0" collapsed="false">
      <c r="E281" s="12"/>
      <c r="F281" s="12"/>
      <c r="G281" s="13"/>
      <c r="R281" s="12"/>
    </row>
    <row r="282" customFormat="false" ht="15" hidden="false" customHeight="false" outlineLevel="0" collapsed="false">
      <c r="E282" s="12"/>
      <c r="F282" s="12"/>
      <c r="G282" s="13"/>
      <c r="R282" s="12"/>
    </row>
    <row r="283" customFormat="false" ht="15" hidden="false" customHeight="false" outlineLevel="0" collapsed="false">
      <c r="E283" s="12"/>
      <c r="F283" s="12"/>
      <c r="G283" s="13"/>
      <c r="R283" s="12"/>
    </row>
    <row r="284" customFormat="false" ht="15" hidden="false" customHeight="false" outlineLevel="0" collapsed="false">
      <c r="E284" s="12"/>
      <c r="F284" s="12"/>
      <c r="G284" s="13"/>
      <c r="R284" s="12"/>
    </row>
    <row r="285" customFormat="false" ht="15" hidden="false" customHeight="false" outlineLevel="0" collapsed="false">
      <c r="E285" s="12"/>
      <c r="F285" s="12"/>
      <c r="G285" s="13"/>
      <c r="R285" s="12"/>
    </row>
    <row r="286" customFormat="false" ht="15" hidden="false" customHeight="false" outlineLevel="0" collapsed="false">
      <c r="E286" s="12"/>
      <c r="F286" s="12"/>
      <c r="G286" s="13"/>
      <c r="R286" s="12"/>
    </row>
    <row r="287" customFormat="false" ht="15" hidden="false" customHeight="false" outlineLevel="0" collapsed="false">
      <c r="E287" s="12"/>
      <c r="F287" s="12"/>
      <c r="G287" s="13"/>
      <c r="R287" s="12"/>
    </row>
    <row r="288" customFormat="false" ht="15" hidden="false" customHeight="false" outlineLevel="0" collapsed="false">
      <c r="E288" s="12"/>
      <c r="F288" s="12"/>
      <c r="G288" s="13"/>
      <c r="R288" s="12"/>
    </row>
    <row r="289" customFormat="false" ht="15" hidden="false" customHeight="false" outlineLevel="0" collapsed="false">
      <c r="E289" s="12"/>
      <c r="F289" s="12"/>
      <c r="G289" s="13"/>
      <c r="R289" s="12"/>
    </row>
    <row r="290" customFormat="false" ht="15" hidden="false" customHeight="false" outlineLevel="0" collapsed="false">
      <c r="E290" s="12"/>
      <c r="F290" s="12"/>
      <c r="G290" s="13"/>
      <c r="R290" s="12"/>
    </row>
    <row r="291" customFormat="false" ht="15" hidden="false" customHeight="false" outlineLevel="0" collapsed="false">
      <c r="E291" s="12"/>
      <c r="F291" s="12"/>
      <c r="G291" s="13"/>
      <c r="R291" s="12"/>
    </row>
    <row r="292" customFormat="false" ht="15" hidden="false" customHeight="false" outlineLevel="0" collapsed="false">
      <c r="E292" s="12"/>
      <c r="F292" s="12"/>
      <c r="G292" s="13"/>
      <c r="R292" s="12"/>
    </row>
    <row r="293" customFormat="false" ht="15" hidden="false" customHeight="false" outlineLevel="0" collapsed="false">
      <c r="E293" s="12"/>
      <c r="F293" s="12"/>
      <c r="G293" s="13"/>
      <c r="R293" s="12"/>
    </row>
    <row r="294" customFormat="false" ht="15" hidden="false" customHeight="false" outlineLevel="0" collapsed="false">
      <c r="E294" s="12"/>
      <c r="F294" s="12"/>
      <c r="G294" s="13"/>
      <c r="R294" s="12"/>
    </row>
    <row r="295" customFormat="false" ht="15" hidden="false" customHeight="false" outlineLevel="0" collapsed="false">
      <c r="E295" s="12"/>
      <c r="F295" s="12"/>
      <c r="G295" s="13"/>
      <c r="R295" s="12"/>
    </row>
    <row r="296" customFormat="false" ht="15" hidden="false" customHeight="false" outlineLevel="0" collapsed="false">
      <c r="E296" s="12"/>
      <c r="F296" s="12"/>
      <c r="G296" s="13"/>
      <c r="R296" s="12"/>
    </row>
    <row r="297" customFormat="false" ht="15" hidden="false" customHeight="false" outlineLevel="0" collapsed="false">
      <c r="E297" s="12"/>
      <c r="F297" s="12"/>
      <c r="G297" s="13"/>
      <c r="R297" s="12"/>
    </row>
    <row r="298" customFormat="false" ht="15" hidden="false" customHeight="false" outlineLevel="0" collapsed="false">
      <c r="E298" s="12"/>
      <c r="F298" s="12"/>
      <c r="G298" s="13"/>
      <c r="R298" s="12"/>
    </row>
    <row r="299" customFormat="false" ht="15" hidden="false" customHeight="false" outlineLevel="0" collapsed="false">
      <c r="E299" s="12"/>
      <c r="F299" s="12"/>
      <c r="G299" s="13"/>
      <c r="R299" s="12"/>
    </row>
    <row r="300" customFormat="false" ht="15" hidden="false" customHeight="false" outlineLevel="0" collapsed="false">
      <c r="E300" s="12"/>
      <c r="F300" s="12"/>
      <c r="G300" s="13"/>
      <c r="R300" s="12"/>
    </row>
    <row r="301" customFormat="false" ht="15" hidden="false" customHeight="false" outlineLevel="0" collapsed="false">
      <c r="E301" s="12"/>
      <c r="F301" s="12"/>
      <c r="G301" s="13"/>
      <c r="R301" s="12"/>
    </row>
    <row r="302" customFormat="false" ht="15" hidden="false" customHeight="false" outlineLevel="0" collapsed="false">
      <c r="E302" s="12"/>
      <c r="F302" s="12"/>
      <c r="G302" s="13"/>
      <c r="R302" s="12"/>
    </row>
    <row r="303" customFormat="false" ht="15" hidden="false" customHeight="false" outlineLevel="0" collapsed="false">
      <c r="E303" s="12"/>
      <c r="F303" s="12"/>
      <c r="G303" s="13"/>
      <c r="R303" s="12"/>
    </row>
    <row r="304" customFormat="false" ht="15" hidden="false" customHeight="false" outlineLevel="0" collapsed="false">
      <c r="E304" s="12"/>
      <c r="F304" s="12"/>
      <c r="G304" s="13"/>
      <c r="R304" s="12"/>
    </row>
    <row r="305" customFormat="false" ht="15" hidden="false" customHeight="false" outlineLevel="0" collapsed="false">
      <c r="E305" s="12"/>
      <c r="F305" s="12"/>
      <c r="G305" s="13"/>
      <c r="R305" s="12"/>
    </row>
    <row r="306" customFormat="false" ht="15" hidden="false" customHeight="false" outlineLevel="0" collapsed="false">
      <c r="E306" s="12"/>
      <c r="F306" s="12"/>
      <c r="G306" s="13"/>
      <c r="R306" s="12"/>
    </row>
    <row r="307" customFormat="false" ht="15" hidden="false" customHeight="false" outlineLevel="0" collapsed="false">
      <c r="E307" s="12"/>
      <c r="F307" s="12"/>
      <c r="G307" s="13"/>
      <c r="R307" s="12"/>
    </row>
    <row r="308" customFormat="false" ht="15" hidden="false" customHeight="false" outlineLevel="0" collapsed="false">
      <c r="E308" s="12"/>
      <c r="F308" s="12"/>
      <c r="G308" s="13"/>
      <c r="R308" s="12"/>
    </row>
    <row r="309" customFormat="false" ht="15" hidden="false" customHeight="false" outlineLevel="0" collapsed="false">
      <c r="E309" s="12"/>
      <c r="F309" s="12"/>
      <c r="G309" s="13"/>
      <c r="R309" s="12"/>
    </row>
    <row r="310" customFormat="false" ht="15" hidden="false" customHeight="false" outlineLevel="0" collapsed="false">
      <c r="E310" s="12"/>
      <c r="F310" s="12"/>
      <c r="G310" s="13"/>
      <c r="R310" s="12"/>
    </row>
    <row r="311" customFormat="false" ht="15" hidden="false" customHeight="false" outlineLevel="0" collapsed="false">
      <c r="E311" s="12"/>
      <c r="F311" s="12"/>
      <c r="G311" s="13"/>
      <c r="R311" s="12"/>
    </row>
    <row r="312" customFormat="false" ht="15" hidden="false" customHeight="false" outlineLevel="0" collapsed="false">
      <c r="E312" s="12"/>
      <c r="F312" s="12"/>
      <c r="G312" s="13"/>
      <c r="R312" s="12"/>
    </row>
    <row r="313" customFormat="false" ht="15" hidden="false" customHeight="false" outlineLevel="0" collapsed="false">
      <c r="E313" s="12"/>
      <c r="F313" s="12"/>
      <c r="G313" s="13"/>
      <c r="R313" s="12"/>
    </row>
    <row r="314" customFormat="false" ht="15" hidden="false" customHeight="false" outlineLevel="0" collapsed="false">
      <c r="E314" s="12"/>
      <c r="F314" s="12"/>
      <c r="G314" s="13"/>
      <c r="R314" s="12"/>
    </row>
    <row r="315" customFormat="false" ht="15" hidden="false" customHeight="false" outlineLevel="0" collapsed="false">
      <c r="E315" s="12"/>
      <c r="F315" s="12"/>
      <c r="G315" s="13"/>
      <c r="R315" s="12"/>
    </row>
    <row r="316" customFormat="false" ht="15" hidden="false" customHeight="false" outlineLevel="0" collapsed="false">
      <c r="E316" s="12"/>
      <c r="F316" s="12"/>
      <c r="G316" s="13"/>
      <c r="R316" s="12"/>
    </row>
    <row r="317" customFormat="false" ht="15" hidden="false" customHeight="false" outlineLevel="0" collapsed="false">
      <c r="E317" s="12"/>
      <c r="F317" s="12"/>
      <c r="G317" s="13"/>
      <c r="R317" s="12"/>
    </row>
    <row r="318" customFormat="false" ht="15" hidden="false" customHeight="false" outlineLevel="0" collapsed="false">
      <c r="E318" s="12"/>
      <c r="F318" s="12"/>
      <c r="G318" s="13"/>
      <c r="R318" s="12"/>
    </row>
    <row r="319" customFormat="false" ht="15" hidden="false" customHeight="false" outlineLevel="0" collapsed="false">
      <c r="E319" s="12"/>
      <c r="F319" s="12"/>
      <c r="G319" s="13"/>
      <c r="R319" s="12"/>
    </row>
    <row r="320" customFormat="false" ht="15" hidden="false" customHeight="false" outlineLevel="0" collapsed="false">
      <c r="E320" s="12"/>
      <c r="F320" s="12"/>
      <c r="G320" s="13"/>
      <c r="R320" s="12"/>
    </row>
    <row r="321" customFormat="false" ht="15" hidden="false" customHeight="false" outlineLevel="0" collapsed="false">
      <c r="E321" s="12"/>
      <c r="F321" s="12"/>
      <c r="G321" s="13"/>
      <c r="R321" s="12"/>
    </row>
    <row r="322" customFormat="false" ht="15" hidden="false" customHeight="false" outlineLevel="0" collapsed="false">
      <c r="E322" s="12"/>
      <c r="F322" s="12"/>
      <c r="G322" s="13"/>
      <c r="R322" s="12"/>
    </row>
    <row r="323" customFormat="false" ht="15" hidden="false" customHeight="false" outlineLevel="0" collapsed="false">
      <c r="E323" s="12"/>
      <c r="F323" s="12"/>
      <c r="G323" s="13"/>
      <c r="R323" s="12"/>
    </row>
    <row r="324" customFormat="false" ht="15" hidden="false" customHeight="false" outlineLevel="0" collapsed="false">
      <c r="E324" s="12"/>
      <c r="F324" s="12"/>
      <c r="G324" s="13"/>
      <c r="R324" s="12"/>
    </row>
    <row r="325" customFormat="false" ht="15" hidden="false" customHeight="false" outlineLevel="0" collapsed="false">
      <c r="E325" s="12"/>
      <c r="F325" s="12"/>
      <c r="G325" s="13"/>
      <c r="R325" s="12"/>
    </row>
    <row r="326" customFormat="false" ht="15" hidden="false" customHeight="false" outlineLevel="0" collapsed="false">
      <c r="E326" s="12"/>
      <c r="F326" s="12"/>
      <c r="G326" s="13"/>
      <c r="R326" s="12"/>
    </row>
    <row r="327" customFormat="false" ht="15" hidden="false" customHeight="false" outlineLevel="0" collapsed="false">
      <c r="E327" s="12"/>
      <c r="F327" s="12"/>
      <c r="G327" s="13"/>
      <c r="R327" s="12"/>
    </row>
    <row r="328" customFormat="false" ht="15" hidden="false" customHeight="false" outlineLevel="0" collapsed="false">
      <c r="E328" s="12"/>
      <c r="F328" s="12"/>
      <c r="G328" s="13"/>
      <c r="R328" s="12"/>
    </row>
    <row r="329" customFormat="false" ht="15" hidden="false" customHeight="false" outlineLevel="0" collapsed="false">
      <c r="E329" s="12"/>
      <c r="F329" s="12"/>
      <c r="G329" s="13"/>
      <c r="R329" s="12"/>
    </row>
    <row r="330" customFormat="false" ht="15" hidden="false" customHeight="false" outlineLevel="0" collapsed="false">
      <c r="E330" s="12"/>
      <c r="F330" s="12"/>
      <c r="G330" s="13"/>
      <c r="R330" s="12"/>
    </row>
    <row r="331" customFormat="false" ht="15" hidden="false" customHeight="false" outlineLevel="0" collapsed="false">
      <c r="E331" s="12"/>
      <c r="F331" s="12"/>
      <c r="G331" s="13"/>
      <c r="R331" s="12"/>
    </row>
    <row r="332" customFormat="false" ht="15" hidden="false" customHeight="false" outlineLevel="0" collapsed="false">
      <c r="E332" s="12"/>
      <c r="F332" s="12"/>
      <c r="G332" s="13"/>
      <c r="R332" s="12"/>
    </row>
    <row r="333" customFormat="false" ht="15" hidden="false" customHeight="false" outlineLevel="0" collapsed="false">
      <c r="E333" s="12"/>
      <c r="F333" s="12"/>
      <c r="G333" s="13"/>
      <c r="R333" s="12"/>
    </row>
    <row r="334" customFormat="false" ht="15" hidden="false" customHeight="false" outlineLevel="0" collapsed="false">
      <c r="E334" s="12"/>
      <c r="F334" s="12"/>
      <c r="G334" s="13"/>
      <c r="R334" s="12"/>
    </row>
    <row r="335" customFormat="false" ht="15" hidden="false" customHeight="false" outlineLevel="0" collapsed="false">
      <c r="E335" s="12"/>
      <c r="F335" s="12"/>
      <c r="G335" s="13"/>
      <c r="R335" s="12"/>
    </row>
    <row r="336" customFormat="false" ht="15" hidden="false" customHeight="false" outlineLevel="0" collapsed="false">
      <c r="E336" s="12"/>
      <c r="F336" s="12"/>
      <c r="G336" s="13"/>
      <c r="R336" s="12"/>
    </row>
    <row r="337" customFormat="false" ht="15" hidden="false" customHeight="false" outlineLevel="0" collapsed="false">
      <c r="E337" s="12"/>
      <c r="F337" s="12"/>
      <c r="G337" s="13"/>
      <c r="R337" s="12"/>
    </row>
    <row r="338" customFormat="false" ht="15" hidden="false" customHeight="false" outlineLevel="0" collapsed="false">
      <c r="E338" s="12"/>
      <c r="F338" s="12"/>
      <c r="G338" s="13"/>
      <c r="R338" s="12"/>
    </row>
    <row r="339" customFormat="false" ht="15" hidden="false" customHeight="false" outlineLevel="0" collapsed="false">
      <c r="E339" s="12"/>
      <c r="F339" s="12"/>
      <c r="G339" s="13"/>
      <c r="R339" s="12"/>
    </row>
    <row r="340" customFormat="false" ht="15" hidden="false" customHeight="false" outlineLevel="0" collapsed="false">
      <c r="E340" s="12"/>
      <c r="F340" s="12"/>
      <c r="G340" s="13"/>
      <c r="R340" s="12"/>
    </row>
    <row r="341" customFormat="false" ht="15" hidden="false" customHeight="false" outlineLevel="0" collapsed="false">
      <c r="E341" s="12"/>
      <c r="F341" s="12"/>
      <c r="G341" s="13"/>
      <c r="R341" s="12"/>
    </row>
    <row r="342" customFormat="false" ht="15" hidden="false" customHeight="false" outlineLevel="0" collapsed="false">
      <c r="E342" s="12"/>
      <c r="F342" s="12"/>
      <c r="G342" s="13"/>
      <c r="R342" s="12"/>
    </row>
    <row r="343" customFormat="false" ht="15" hidden="false" customHeight="false" outlineLevel="0" collapsed="false">
      <c r="E343" s="12"/>
      <c r="F343" s="12"/>
      <c r="G343" s="13"/>
      <c r="R343" s="12"/>
    </row>
    <row r="344" customFormat="false" ht="15" hidden="false" customHeight="false" outlineLevel="0" collapsed="false">
      <c r="E344" s="12"/>
      <c r="F344" s="12"/>
      <c r="G344" s="13"/>
      <c r="R344" s="12"/>
    </row>
    <row r="345" customFormat="false" ht="15" hidden="false" customHeight="false" outlineLevel="0" collapsed="false">
      <c r="E345" s="12"/>
      <c r="F345" s="12"/>
      <c r="G345" s="13"/>
      <c r="R345" s="12"/>
    </row>
    <row r="346" customFormat="false" ht="15" hidden="false" customHeight="false" outlineLevel="0" collapsed="false">
      <c r="E346" s="12"/>
      <c r="F346" s="12"/>
      <c r="G346" s="13"/>
      <c r="R346" s="12"/>
    </row>
    <row r="347" customFormat="false" ht="15" hidden="false" customHeight="false" outlineLevel="0" collapsed="false">
      <c r="E347" s="12"/>
      <c r="F347" s="12"/>
      <c r="G347" s="13"/>
      <c r="R347" s="12"/>
    </row>
    <row r="348" customFormat="false" ht="15" hidden="false" customHeight="false" outlineLevel="0" collapsed="false">
      <c r="E348" s="12"/>
      <c r="F348" s="12"/>
      <c r="G348" s="13"/>
      <c r="R348" s="12"/>
    </row>
    <row r="349" customFormat="false" ht="15" hidden="false" customHeight="false" outlineLevel="0" collapsed="false">
      <c r="E349" s="12"/>
      <c r="F349" s="12"/>
      <c r="G349" s="13"/>
      <c r="R349" s="12"/>
    </row>
    <row r="350" customFormat="false" ht="15" hidden="false" customHeight="false" outlineLevel="0" collapsed="false">
      <c r="E350" s="12"/>
      <c r="F350" s="12"/>
      <c r="G350" s="13"/>
      <c r="R350" s="12"/>
    </row>
    <row r="351" customFormat="false" ht="15" hidden="false" customHeight="false" outlineLevel="0" collapsed="false">
      <c r="E351" s="12"/>
      <c r="F351" s="12"/>
      <c r="G351" s="13"/>
      <c r="R351" s="12"/>
    </row>
    <row r="352" customFormat="false" ht="15" hidden="false" customHeight="false" outlineLevel="0" collapsed="false">
      <c r="E352" s="12"/>
      <c r="F352" s="12"/>
      <c r="G352" s="13"/>
      <c r="R352" s="12"/>
    </row>
    <row r="353" customFormat="false" ht="15" hidden="false" customHeight="false" outlineLevel="0" collapsed="false">
      <c r="E353" s="12"/>
      <c r="F353" s="12"/>
      <c r="G353" s="13"/>
      <c r="R353" s="12"/>
    </row>
    <row r="354" customFormat="false" ht="15" hidden="false" customHeight="false" outlineLevel="0" collapsed="false">
      <c r="E354" s="12"/>
      <c r="F354" s="12"/>
      <c r="G354" s="13"/>
      <c r="R354" s="12"/>
    </row>
    <row r="355" customFormat="false" ht="15" hidden="false" customHeight="false" outlineLevel="0" collapsed="false">
      <c r="E355" s="12"/>
      <c r="F355" s="12"/>
      <c r="G355" s="13"/>
      <c r="R355" s="12"/>
    </row>
    <row r="356" customFormat="false" ht="15" hidden="false" customHeight="false" outlineLevel="0" collapsed="false">
      <c r="E356" s="12"/>
      <c r="F356" s="12"/>
      <c r="G356" s="13"/>
      <c r="R356" s="12"/>
    </row>
    <row r="357" customFormat="false" ht="15" hidden="false" customHeight="false" outlineLevel="0" collapsed="false">
      <c r="E357" s="12"/>
      <c r="F357" s="12"/>
      <c r="G357" s="13"/>
      <c r="R357" s="12"/>
    </row>
    <row r="358" customFormat="false" ht="15" hidden="false" customHeight="false" outlineLevel="0" collapsed="false">
      <c r="E358" s="12"/>
      <c r="F358" s="12"/>
      <c r="G358" s="13"/>
      <c r="R358" s="12"/>
    </row>
    <row r="359" customFormat="false" ht="15" hidden="false" customHeight="false" outlineLevel="0" collapsed="false">
      <c r="E359" s="12"/>
      <c r="F359" s="12"/>
      <c r="G359" s="13"/>
      <c r="R359" s="12"/>
    </row>
    <row r="360" customFormat="false" ht="15" hidden="false" customHeight="false" outlineLevel="0" collapsed="false">
      <c r="E360" s="12"/>
      <c r="F360" s="12"/>
      <c r="G360" s="13"/>
      <c r="R360" s="12"/>
    </row>
    <row r="361" customFormat="false" ht="15" hidden="false" customHeight="false" outlineLevel="0" collapsed="false">
      <c r="E361" s="12"/>
      <c r="F361" s="12"/>
      <c r="G361" s="13"/>
      <c r="R361" s="12"/>
    </row>
    <row r="362" customFormat="false" ht="15" hidden="false" customHeight="false" outlineLevel="0" collapsed="false">
      <c r="E362" s="12"/>
      <c r="F362" s="12"/>
      <c r="G362" s="13"/>
      <c r="R362" s="12"/>
    </row>
    <row r="363" customFormat="false" ht="15" hidden="false" customHeight="false" outlineLevel="0" collapsed="false">
      <c r="E363" s="12"/>
      <c r="F363" s="12"/>
      <c r="G363" s="13"/>
      <c r="R363" s="12"/>
    </row>
    <row r="364" customFormat="false" ht="15" hidden="false" customHeight="false" outlineLevel="0" collapsed="false">
      <c r="E364" s="12"/>
      <c r="F364" s="12"/>
      <c r="G364" s="13"/>
      <c r="R364" s="12"/>
    </row>
    <row r="365" customFormat="false" ht="15" hidden="false" customHeight="false" outlineLevel="0" collapsed="false">
      <c r="E365" s="12"/>
      <c r="F365" s="12"/>
      <c r="G365" s="13"/>
      <c r="R365" s="12"/>
    </row>
    <row r="366" customFormat="false" ht="15" hidden="false" customHeight="false" outlineLevel="0" collapsed="false">
      <c r="E366" s="12"/>
      <c r="F366" s="12"/>
      <c r="G366" s="13"/>
      <c r="R366" s="12"/>
    </row>
    <row r="367" customFormat="false" ht="15" hidden="false" customHeight="false" outlineLevel="0" collapsed="false">
      <c r="E367" s="12"/>
      <c r="F367" s="12"/>
      <c r="G367" s="13"/>
      <c r="R367" s="12"/>
    </row>
    <row r="368" customFormat="false" ht="15" hidden="false" customHeight="false" outlineLevel="0" collapsed="false">
      <c r="E368" s="12"/>
      <c r="F368" s="12"/>
      <c r="G368" s="13"/>
      <c r="R368" s="12"/>
    </row>
    <row r="369" customFormat="false" ht="15" hidden="false" customHeight="false" outlineLevel="0" collapsed="false">
      <c r="E369" s="12"/>
      <c r="F369" s="12"/>
      <c r="G369" s="13"/>
      <c r="R369" s="12"/>
    </row>
    <row r="370" customFormat="false" ht="15" hidden="false" customHeight="false" outlineLevel="0" collapsed="false">
      <c r="E370" s="12"/>
      <c r="F370" s="12"/>
      <c r="G370" s="13"/>
      <c r="R370" s="12"/>
    </row>
    <row r="371" customFormat="false" ht="15" hidden="false" customHeight="false" outlineLevel="0" collapsed="false">
      <c r="E371" s="12"/>
      <c r="F371" s="12"/>
      <c r="G371" s="13"/>
      <c r="R371" s="12"/>
    </row>
    <row r="372" customFormat="false" ht="15" hidden="false" customHeight="false" outlineLevel="0" collapsed="false">
      <c r="E372" s="12"/>
      <c r="F372" s="12"/>
      <c r="G372" s="13"/>
      <c r="R372" s="12"/>
    </row>
    <row r="373" customFormat="false" ht="15" hidden="false" customHeight="false" outlineLevel="0" collapsed="false">
      <c r="E373" s="12"/>
      <c r="F373" s="12"/>
      <c r="G373" s="13"/>
      <c r="R373" s="12"/>
    </row>
    <row r="374" customFormat="false" ht="15" hidden="false" customHeight="false" outlineLevel="0" collapsed="false">
      <c r="E374" s="12"/>
      <c r="F374" s="12"/>
      <c r="G374" s="13"/>
      <c r="R374" s="12"/>
    </row>
    <row r="375" customFormat="false" ht="15" hidden="false" customHeight="false" outlineLevel="0" collapsed="false">
      <c r="E375" s="12"/>
      <c r="F375" s="12"/>
      <c r="G375" s="13"/>
      <c r="R375" s="12"/>
    </row>
    <row r="376" customFormat="false" ht="15" hidden="false" customHeight="false" outlineLevel="0" collapsed="false">
      <c r="E376" s="12"/>
      <c r="F376" s="12"/>
      <c r="G376" s="13"/>
      <c r="R376" s="12"/>
    </row>
    <row r="377" customFormat="false" ht="15" hidden="false" customHeight="false" outlineLevel="0" collapsed="false">
      <c r="E377" s="12"/>
      <c r="F377" s="12"/>
      <c r="G377" s="13"/>
      <c r="R377" s="12"/>
    </row>
    <row r="378" customFormat="false" ht="15" hidden="false" customHeight="false" outlineLevel="0" collapsed="false">
      <c r="E378" s="12"/>
      <c r="F378" s="12"/>
      <c r="G378" s="13"/>
      <c r="R378" s="12"/>
    </row>
    <row r="379" customFormat="false" ht="15" hidden="false" customHeight="false" outlineLevel="0" collapsed="false">
      <c r="E379" s="12"/>
      <c r="F379" s="12"/>
      <c r="G379" s="13"/>
      <c r="R379" s="12"/>
    </row>
    <row r="380" customFormat="false" ht="15" hidden="false" customHeight="false" outlineLevel="0" collapsed="false">
      <c r="E380" s="12"/>
      <c r="F380" s="12"/>
      <c r="G380" s="13"/>
      <c r="R380" s="12"/>
    </row>
    <row r="381" customFormat="false" ht="15" hidden="false" customHeight="false" outlineLevel="0" collapsed="false">
      <c r="E381" s="12"/>
      <c r="F381" s="12"/>
      <c r="G381" s="13"/>
      <c r="R381" s="12"/>
    </row>
    <row r="382" customFormat="false" ht="15" hidden="false" customHeight="false" outlineLevel="0" collapsed="false">
      <c r="E382" s="12"/>
      <c r="F382" s="12"/>
      <c r="G382" s="13"/>
      <c r="R382" s="12"/>
    </row>
    <row r="383" customFormat="false" ht="15" hidden="false" customHeight="false" outlineLevel="0" collapsed="false">
      <c r="E383" s="12"/>
      <c r="F383" s="12"/>
      <c r="G383" s="13"/>
      <c r="R383" s="12"/>
    </row>
    <row r="384" customFormat="false" ht="15" hidden="false" customHeight="false" outlineLevel="0" collapsed="false">
      <c r="E384" s="12"/>
      <c r="F384" s="12"/>
      <c r="G384" s="13"/>
      <c r="R384" s="12"/>
    </row>
    <row r="385" customFormat="false" ht="15" hidden="false" customHeight="false" outlineLevel="0" collapsed="false">
      <c r="E385" s="12"/>
      <c r="F385" s="12"/>
      <c r="G385" s="13"/>
      <c r="R385" s="12"/>
    </row>
    <row r="386" customFormat="false" ht="15" hidden="false" customHeight="false" outlineLevel="0" collapsed="false">
      <c r="E386" s="12"/>
      <c r="F386" s="12"/>
      <c r="G386" s="13"/>
      <c r="R386" s="12"/>
    </row>
    <row r="387" customFormat="false" ht="15" hidden="false" customHeight="false" outlineLevel="0" collapsed="false">
      <c r="E387" s="12"/>
      <c r="F387" s="12"/>
      <c r="G387" s="13"/>
      <c r="R387" s="12"/>
    </row>
    <row r="388" customFormat="false" ht="15" hidden="false" customHeight="false" outlineLevel="0" collapsed="false">
      <c r="E388" s="12"/>
      <c r="F388" s="12"/>
      <c r="G388" s="13"/>
      <c r="R388" s="12"/>
    </row>
    <row r="389" customFormat="false" ht="15" hidden="false" customHeight="false" outlineLevel="0" collapsed="false">
      <c r="E389" s="12"/>
      <c r="F389" s="12"/>
      <c r="G389" s="13"/>
      <c r="R389" s="12"/>
    </row>
    <row r="390" customFormat="false" ht="15" hidden="false" customHeight="false" outlineLevel="0" collapsed="false">
      <c r="E390" s="12"/>
      <c r="F390" s="12"/>
      <c r="G390" s="13"/>
      <c r="R390" s="12"/>
    </row>
    <row r="391" customFormat="false" ht="15" hidden="false" customHeight="false" outlineLevel="0" collapsed="false">
      <c r="E391" s="12"/>
      <c r="F391" s="12"/>
      <c r="G391" s="13"/>
      <c r="R391" s="12"/>
    </row>
    <row r="392" customFormat="false" ht="15" hidden="false" customHeight="false" outlineLevel="0" collapsed="false">
      <c r="E392" s="12"/>
      <c r="F392" s="12"/>
      <c r="G392" s="13"/>
      <c r="R392" s="12"/>
    </row>
    <row r="393" customFormat="false" ht="15" hidden="false" customHeight="false" outlineLevel="0" collapsed="false">
      <c r="E393" s="12"/>
      <c r="F393" s="12"/>
      <c r="G393" s="13"/>
      <c r="R393" s="12"/>
    </row>
    <row r="394" customFormat="false" ht="15" hidden="false" customHeight="false" outlineLevel="0" collapsed="false">
      <c r="E394" s="12"/>
      <c r="F394" s="12"/>
      <c r="G394" s="13"/>
      <c r="R394" s="12"/>
    </row>
    <row r="395" customFormat="false" ht="15" hidden="false" customHeight="false" outlineLevel="0" collapsed="false">
      <c r="E395" s="12"/>
      <c r="F395" s="12"/>
      <c r="G395" s="13"/>
      <c r="R395" s="12"/>
    </row>
    <row r="396" customFormat="false" ht="15" hidden="false" customHeight="false" outlineLevel="0" collapsed="false">
      <c r="E396" s="12"/>
      <c r="F396" s="12"/>
      <c r="G396" s="13"/>
      <c r="R396" s="12"/>
    </row>
    <row r="397" customFormat="false" ht="15" hidden="false" customHeight="false" outlineLevel="0" collapsed="false">
      <c r="E397" s="12"/>
      <c r="F397" s="12"/>
      <c r="G397" s="13"/>
      <c r="R397" s="12"/>
    </row>
    <row r="398" customFormat="false" ht="15" hidden="false" customHeight="false" outlineLevel="0" collapsed="false">
      <c r="E398" s="12"/>
      <c r="F398" s="12"/>
      <c r="G398" s="13"/>
      <c r="R398" s="12"/>
    </row>
    <row r="399" customFormat="false" ht="15" hidden="false" customHeight="false" outlineLevel="0" collapsed="false">
      <c r="E399" s="12"/>
      <c r="F399" s="12"/>
      <c r="G399" s="13"/>
      <c r="R399" s="12"/>
    </row>
    <row r="400" customFormat="false" ht="15" hidden="false" customHeight="false" outlineLevel="0" collapsed="false">
      <c r="E400" s="12"/>
      <c r="F400" s="12"/>
      <c r="G400" s="13"/>
      <c r="R400" s="12"/>
    </row>
    <row r="401" customFormat="false" ht="15" hidden="false" customHeight="false" outlineLevel="0" collapsed="false">
      <c r="E401" s="12"/>
      <c r="F401" s="12"/>
      <c r="G401" s="13"/>
      <c r="R401" s="12"/>
    </row>
    <row r="402" customFormat="false" ht="15" hidden="false" customHeight="false" outlineLevel="0" collapsed="false">
      <c r="E402" s="12"/>
      <c r="F402" s="12"/>
      <c r="G402" s="13"/>
      <c r="R402" s="12"/>
    </row>
    <row r="403" customFormat="false" ht="15" hidden="false" customHeight="false" outlineLevel="0" collapsed="false">
      <c r="E403" s="12"/>
      <c r="F403" s="12"/>
      <c r="G403" s="13"/>
      <c r="R403" s="12"/>
    </row>
    <row r="404" customFormat="false" ht="15" hidden="false" customHeight="false" outlineLevel="0" collapsed="false">
      <c r="E404" s="12"/>
      <c r="F404" s="12"/>
      <c r="G404" s="13"/>
      <c r="R404" s="12"/>
    </row>
    <row r="405" customFormat="false" ht="15" hidden="false" customHeight="false" outlineLevel="0" collapsed="false">
      <c r="E405" s="12"/>
      <c r="F405" s="12"/>
      <c r="G405" s="13"/>
      <c r="R405" s="12"/>
    </row>
    <row r="406" customFormat="false" ht="15" hidden="false" customHeight="false" outlineLevel="0" collapsed="false">
      <c r="E406" s="12"/>
      <c r="F406" s="12"/>
      <c r="G406" s="13"/>
      <c r="R406" s="12"/>
    </row>
    <row r="407" customFormat="false" ht="15" hidden="false" customHeight="false" outlineLevel="0" collapsed="false">
      <c r="E407" s="12"/>
      <c r="F407" s="12"/>
      <c r="G407" s="13"/>
      <c r="R407" s="12"/>
    </row>
    <row r="408" customFormat="false" ht="15" hidden="false" customHeight="false" outlineLevel="0" collapsed="false">
      <c r="E408" s="12"/>
      <c r="F408" s="12"/>
      <c r="G408" s="13"/>
      <c r="R408" s="12"/>
    </row>
    <row r="409" customFormat="false" ht="15" hidden="false" customHeight="false" outlineLevel="0" collapsed="false">
      <c r="E409" s="12"/>
      <c r="F409" s="12"/>
      <c r="G409" s="13"/>
      <c r="R409" s="12"/>
    </row>
    <row r="410" customFormat="false" ht="15" hidden="false" customHeight="false" outlineLevel="0" collapsed="false">
      <c r="E410" s="12"/>
      <c r="F410" s="12"/>
      <c r="G410" s="13"/>
      <c r="R410" s="12"/>
    </row>
    <row r="411" customFormat="false" ht="15" hidden="false" customHeight="false" outlineLevel="0" collapsed="false">
      <c r="E411" s="12"/>
      <c r="F411" s="12"/>
      <c r="G411" s="13"/>
      <c r="R411" s="12"/>
    </row>
    <row r="412" customFormat="false" ht="15" hidden="false" customHeight="false" outlineLevel="0" collapsed="false">
      <c r="E412" s="12"/>
      <c r="F412" s="12"/>
      <c r="G412" s="13"/>
      <c r="R412" s="12"/>
    </row>
    <row r="413" customFormat="false" ht="15" hidden="false" customHeight="false" outlineLevel="0" collapsed="false">
      <c r="E413" s="12"/>
      <c r="F413" s="12"/>
      <c r="G413" s="13"/>
      <c r="R413" s="12"/>
    </row>
    <row r="414" customFormat="false" ht="15" hidden="false" customHeight="false" outlineLevel="0" collapsed="false">
      <c r="E414" s="12"/>
      <c r="F414" s="12"/>
      <c r="G414" s="13"/>
      <c r="R414" s="12"/>
    </row>
    <row r="415" customFormat="false" ht="15" hidden="false" customHeight="false" outlineLevel="0" collapsed="false">
      <c r="E415" s="12"/>
      <c r="F415" s="12"/>
      <c r="G415" s="13"/>
      <c r="R415" s="12"/>
    </row>
    <row r="416" customFormat="false" ht="15" hidden="false" customHeight="false" outlineLevel="0" collapsed="false">
      <c r="E416" s="12"/>
      <c r="F416" s="12"/>
      <c r="G416" s="13"/>
      <c r="R416" s="12"/>
    </row>
    <row r="417" customFormat="false" ht="15" hidden="false" customHeight="false" outlineLevel="0" collapsed="false">
      <c r="E417" s="12"/>
      <c r="F417" s="12"/>
      <c r="G417" s="13"/>
      <c r="R417" s="12"/>
    </row>
    <row r="418" customFormat="false" ht="15" hidden="false" customHeight="false" outlineLevel="0" collapsed="false">
      <c r="E418" s="12"/>
      <c r="F418" s="12"/>
      <c r="G418" s="13"/>
      <c r="R418" s="12"/>
    </row>
    <row r="419" customFormat="false" ht="15" hidden="false" customHeight="false" outlineLevel="0" collapsed="false">
      <c r="E419" s="12"/>
      <c r="F419" s="12"/>
      <c r="G419" s="13"/>
      <c r="R419" s="12"/>
    </row>
    <row r="420" customFormat="false" ht="15" hidden="false" customHeight="false" outlineLevel="0" collapsed="false">
      <c r="E420" s="12"/>
      <c r="F420" s="12"/>
      <c r="G420" s="13"/>
      <c r="R420" s="12"/>
    </row>
    <row r="421" customFormat="false" ht="15" hidden="false" customHeight="false" outlineLevel="0" collapsed="false">
      <c r="E421" s="12"/>
      <c r="F421" s="12"/>
      <c r="G421" s="13"/>
      <c r="R421" s="12"/>
    </row>
    <row r="422" customFormat="false" ht="15" hidden="false" customHeight="false" outlineLevel="0" collapsed="false">
      <c r="E422" s="12"/>
      <c r="F422" s="12"/>
      <c r="G422" s="13"/>
      <c r="R422" s="12"/>
    </row>
    <row r="423" customFormat="false" ht="15" hidden="false" customHeight="false" outlineLevel="0" collapsed="false">
      <c r="E423" s="12"/>
      <c r="F423" s="12"/>
      <c r="G423" s="13"/>
      <c r="R423" s="12"/>
    </row>
    <row r="424" customFormat="false" ht="15" hidden="false" customHeight="false" outlineLevel="0" collapsed="false">
      <c r="E424" s="12"/>
      <c r="F424" s="12"/>
      <c r="G424" s="13"/>
      <c r="R424" s="12"/>
    </row>
    <row r="425" customFormat="false" ht="15" hidden="false" customHeight="false" outlineLevel="0" collapsed="false">
      <c r="E425" s="12"/>
      <c r="F425" s="12"/>
      <c r="G425" s="13"/>
      <c r="R425" s="12"/>
    </row>
    <row r="426" customFormat="false" ht="15" hidden="false" customHeight="false" outlineLevel="0" collapsed="false">
      <c r="E426" s="12"/>
      <c r="F426" s="12"/>
      <c r="G426" s="13"/>
      <c r="R426" s="12"/>
    </row>
    <row r="427" customFormat="false" ht="15" hidden="false" customHeight="false" outlineLevel="0" collapsed="false">
      <c r="E427" s="12"/>
      <c r="F427" s="12"/>
      <c r="G427" s="13"/>
      <c r="R427" s="12"/>
    </row>
    <row r="428" customFormat="false" ht="15" hidden="false" customHeight="false" outlineLevel="0" collapsed="false">
      <c r="E428" s="12"/>
      <c r="F428" s="12"/>
      <c r="G428" s="13"/>
      <c r="R428" s="12"/>
    </row>
    <row r="429" customFormat="false" ht="15" hidden="false" customHeight="false" outlineLevel="0" collapsed="false">
      <c r="E429" s="12"/>
      <c r="F429" s="12"/>
      <c r="G429" s="13"/>
      <c r="R429" s="12"/>
    </row>
    <row r="430" customFormat="false" ht="15" hidden="false" customHeight="false" outlineLevel="0" collapsed="false">
      <c r="E430" s="12"/>
      <c r="F430" s="12"/>
      <c r="G430" s="13"/>
      <c r="R430" s="12"/>
    </row>
    <row r="431" customFormat="false" ht="15" hidden="false" customHeight="false" outlineLevel="0" collapsed="false">
      <c r="E431" s="12"/>
      <c r="F431" s="12"/>
      <c r="G431" s="13"/>
      <c r="R431" s="12"/>
    </row>
    <row r="432" customFormat="false" ht="15" hidden="false" customHeight="false" outlineLevel="0" collapsed="false">
      <c r="E432" s="12"/>
      <c r="F432" s="12"/>
      <c r="G432" s="13"/>
      <c r="R432" s="12"/>
    </row>
    <row r="433" customFormat="false" ht="15" hidden="false" customHeight="false" outlineLevel="0" collapsed="false">
      <c r="E433" s="12"/>
      <c r="F433" s="12"/>
      <c r="G433" s="13"/>
      <c r="R433" s="12"/>
    </row>
    <row r="434" customFormat="false" ht="15" hidden="false" customHeight="false" outlineLevel="0" collapsed="false">
      <c r="E434" s="12"/>
      <c r="F434" s="12"/>
      <c r="G434" s="13"/>
      <c r="R434" s="12"/>
    </row>
    <row r="435" customFormat="false" ht="15" hidden="false" customHeight="false" outlineLevel="0" collapsed="false">
      <c r="E435" s="12"/>
      <c r="F435" s="12"/>
      <c r="G435" s="13"/>
      <c r="R435" s="12"/>
    </row>
    <row r="436" customFormat="false" ht="15" hidden="false" customHeight="false" outlineLevel="0" collapsed="false">
      <c r="E436" s="12"/>
      <c r="F436" s="12"/>
      <c r="G436" s="13"/>
      <c r="R436" s="12"/>
    </row>
    <row r="437" customFormat="false" ht="15" hidden="false" customHeight="false" outlineLevel="0" collapsed="false">
      <c r="E437" s="12"/>
      <c r="F437" s="12"/>
      <c r="G437" s="13"/>
      <c r="R437" s="12"/>
    </row>
    <row r="438" customFormat="false" ht="15" hidden="false" customHeight="false" outlineLevel="0" collapsed="false">
      <c r="E438" s="12"/>
      <c r="F438" s="12"/>
      <c r="G438" s="13"/>
      <c r="R438" s="12"/>
    </row>
    <row r="439" customFormat="false" ht="15" hidden="false" customHeight="false" outlineLevel="0" collapsed="false">
      <c r="E439" s="12"/>
      <c r="F439" s="12"/>
      <c r="G439" s="13"/>
      <c r="R439" s="12"/>
    </row>
    <row r="440" customFormat="false" ht="15" hidden="false" customHeight="false" outlineLevel="0" collapsed="false">
      <c r="E440" s="12"/>
      <c r="F440" s="12"/>
      <c r="G440" s="13"/>
      <c r="R440" s="12"/>
    </row>
    <row r="441" customFormat="false" ht="15" hidden="false" customHeight="false" outlineLevel="0" collapsed="false">
      <c r="E441" s="12"/>
      <c r="F441" s="12"/>
      <c r="G441" s="13"/>
      <c r="R441" s="12"/>
    </row>
    <row r="442" customFormat="false" ht="15" hidden="false" customHeight="false" outlineLevel="0" collapsed="false">
      <c r="E442" s="12"/>
      <c r="F442" s="12"/>
      <c r="G442" s="13"/>
      <c r="R442" s="12"/>
    </row>
    <row r="443" customFormat="false" ht="15" hidden="false" customHeight="false" outlineLevel="0" collapsed="false">
      <c r="E443" s="12"/>
      <c r="F443" s="12"/>
      <c r="G443" s="13"/>
      <c r="R443" s="12"/>
    </row>
    <row r="444" customFormat="false" ht="15" hidden="false" customHeight="false" outlineLevel="0" collapsed="false">
      <c r="E444" s="12"/>
      <c r="F444" s="12"/>
      <c r="G444" s="13"/>
      <c r="R444" s="12"/>
    </row>
    <row r="445" customFormat="false" ht="15" hidden="false" customHeight="false" outlineLevel="0" collapsed="false">
      <c r="E445" s="12"/>
      <c r="F445" s="12"/>
      <c r="G445" s="13"/>
      <c r="R445" s="12"/>
    </row>
    <row r="446" customFormat="false" ht="15" hidden="false" customHeight="false" outlineLevel="0" collapsed="false">
      <c r="E446" s="12"/>
      <c r="F446" s="12"/>
      <c r="G446" s="13"/>
      <c r="R446" s="12"/>
    </row>
    <row r="447" customFormat="false" ht="15" hidden="false" customHeight="false" outlineLevel="0" collapsed="false">
      <c r="E447" s="12"/>
      <c r="F447" s="12"/>
      <c r="G447" s="13"/>
      <c r="R447" s="12"/>
    </row>
    <row r="448" customFormat="false" ht="15" hidden="false" customHeight="false" outlineLevel="0" collapsed="false">
      <c r="E448" s="12"/>
      <c r="F448" s="12"/>
      <c r="G448" s="13"/>
      <c r="R448" s="12"/>
    </row>
    <row r="449" customFormat="false" ht="15" hidden="false" customHeight="false" outlineLevel="0" collapsed="false">
      <c r="E449" s="12"/>
      <c r="F449" s="12"/>
      <c r="G449" s="13"/>
      <c r="R449" s="12"/>
    </row>
    <row r="450" customFormat="false" ht="15" hidden="false" customHeight="false" outlineLevel="0" collapsed="false">
      <c r="E450" s="12"/>
      <c r="F450" s="12"/>
      <c r="G450" s="13"/>
      <c r="R450" s="12"/>
    </row>
    <row r="451" customFormat="false" ht="15" hidden="false" customHeight="false" outlineLevel="0" collapsed="false">
      <c r="E451" s="12"/>
      <c r="F451" s="12"/>
      <c r="G451" s="13"/>
      <c r="R451" s="12"/>
    </row>
    <row r="452" customFormat="false" ht="15" hidden="false" customHeight="false" outlineLevel="0" collapsed="false">
      <c r="E452" s="12"/>
      <c r="F452" s="12"/>
      <c r="G452" s="13"/>
      <c r="R452" s="12"/>
    </row>
    <row r="453" customFormat="false" ht="15" hidden="false" customHeight="false" outlineLevel="0" collapsed="false">
      <c r="E453" s="12"/>
      <c r="F453" s="12"/>
      <c r="G453" s="13"/>
      <c r="R453" s="12"/>
    </row>
    <row r="454" customFormat="false" ht="15" hidden="false" customHeight="false" outlineLevel="0" collapsed="false">
      <c r="E454" s="12"/>
      <c r="F454" s="12"/>
      <c r="G454" s="13"/>
      <c r="R454" s="12"/>
    </row>
    <row r="455" customFormat="false" ht="15" hidden="false" customHeight="false" outlineLevel="0" collapsed="false">
      <c r="E455" s="12"/>
      <c r="F455" s="12"/>
      <c r="G455" s="13"/>
      <c r="R455" s="12"/>
    </row>
    <row r="456" customFormat="false" ht="15" hidden="false" customHeight="false" outlineLevel="0" collapsed="false">
      <c r="E456" s="12"/>
      <c r="F456" s="12"/>
      <c r="G456" s="13"/>
      <c r="R456" s="12"/>
    </row>
    <row r="457" customFormat="false" ht="15" hidden="false" customHeight="false" outlineLevel="0" collapsed="false">
      <c r="E457" s="12"/>
      <c r="F457" s="12"/>
      <c r="G457" s="13"/>
      <c r="R457" s="12"/>
    </row>
    <row r="458" customFormat="false" ht="15" hidden="false" customHeight="false" outlineLevel="0" collapsed="false">
      <c r="E458" s="12"/>
      <c r="F458" s="12"/>
      <c r="G458" s="13"/>
      <c r="R458" s="12"/>
    </row>
    <row r="459" customFormat="false" ht="15" hidden="false" customHeight="false" outlineLevel="0" collapsed="false">
      <c r="E459" s="12"/>
      <c r="F459" s="12"/>
      <c r="G459" s="13"/>
      <c r="R459" s="12"/>
    </row>
    <row r="460" customFormat="false" ht="15" hidden="false" customHeight="false" outlineLevel="0" collapsed="false">
      <c r="E460" s="12"/>
      <c r="F460" s="12"/>
      <c r="G460" s="13"/>
      <c r="R460" s="12"/>
    </row>
    <row r="461" customFormat="false" ht="15" hidden="false" customHeight="false" outlineLevel="0" collapsed="false">
      <c r="E461" s="12"/>
      <c r="F461" s="12"/>
      <c r="G461" s="13"/>
      <c r="R461" s="12"/>
    </row>
    <row r="462" customFormat="false" ht="15" hidden="false" customHeight="false" outlineLevel="0" collapsed="false">
      <c r="E462" s="12"/>
      <c r="F462" s="12"/>
      <c r="G462" s="13"/>
      <c r="R462" s="12"/>
    </row>
    <row r="463" customFormat="false" ht="15" hidden="false" customHeight="false" outlineLevel="0" collapsed="false">
      <c r="E463" s="12"/>
      <c r="F463" s="12"/>
      <c r="G463" s="13"/>
      <c r="R463" s="12"/>
    </row>
    <row r="464" customFormat="false" ht="15" hidden="false" customHeight="false" outlineLevel="0" collapsed="false">
      <c r="E464" s="12"/>
      <c r="F464" s="12"/>
      <c r="G464" s="13"/>
      <c r="R464" s="12"/>
    </row>
    <row r="465" customFormat="false" ht="15" hidden="false" customHeight="false" outlineLevel="0" collapsed="false">
      <c r="E465" s="12"/>
      <c r="F465" s="12"/>
      <c r="G465" s="13"/>
      <c r="R465" s="12"/>
    </row>
    <row r="466" customFormat="false" ht="15" hidden="false" customHeight="false" outlineLevel="0" collapsed="false">
      <c r="E466" s="12"/>
      <c r="F466" s="12"/>
      <c r="G466" s="13"/>
      <c r="R466" s="12"/>
    </row>
    <row r="467" customFormat="false" ht="15" hidden="false" customHeight="false" outlineLevel="0" collapsed="false">
      <c r="E467" s="12"/>
      <c r="F467" s="12"/>
      <c r="G467" s="13"/>
      <c r="R467" s="12"/>
    </row>
    <row r="468" customFormat="false" ht="15" hidden="false" customHeight="false" outlineLevel="0" collapsed="false">
      <c r="E468" s="12"/>
      <c r="F468" s="12"/>
      <c r="G468" s="13"/>
      <c r="R468" s="12"/>
    </row>
    <row r="469" customFormat="false" ht="15" hidden="false" customHeight="false" outlineLevel="0" collapsed="false">
      <c r="E469" s="12"/>
      <c r="F469" s="12"/>
      <c r="G469" s="13"/>
      <c r="R469" s="12"/>
    </row>
    <row r="470" customFormat="false" ht="15" hidden="false" customHeight="false" outlineLevel="0" collapsed="false">
      <c r="E470" s="12"/>
      <c r="F470" s="12"/>
      <c r="G470" s="13"/>
      <c r="R470" s="12"/>
    </row>
    <row r="471" customFormat="false" ht="15" hidden="false" customHeight="false" outlineLevel="0" collapsed="false">
      <c r="E471" s="12"/>
      <c r="F471" s="12"/>
      <c r="G471" s="13"/>
      <c r="R471" s="12"/>
    </row>
    <row r="472" customFormat="false" ht="15" hidden="false" customHeight="false" outlineLevel="0" collapsed="false">
      <c r="E472" s="12"/>
      <c r="F472" s="12"/>
      <c r="G472" s="13"/>
      <c r="R472" s="12"/>
    </row>
    <row r="473" customFormat="false" ht="15" hidden="false" customHeight="false" outlineLevel="0" collapsed="false">
      <c r="E473" s="12"/>
      <c r="F473" s="12"/>
      <c r="G473" s="13"/>
      <c r="R473" s="12"/>
    </row>
    <row r="474" customFormat="false" ht="15" hidden="false" customHeight="false" outlineLevel="0" collapsed="false">
      <c r="E474" s="12"/>
      <c r="F474" s="12"/>
      <c r="G474" s="13"/>
      <c r="R474" s="12"/>
    </row>
    <row r="475" customFormat="false" ht="15" hidden="false" customHeight="false" outlineLevel="0" collapsed="false">
      <c r="E475" s="12"/>
      <c r="F475" s="12"/>
      <c r="G475" s="13"/>
      <c r="R475" s="12"/>
    </row>
    <row r="476" customFormat="false" ht="15" hidden="false" customHeight="false" outlineLevel="0" collapsed="false">
      <c r="E476" s="12"/>
      <c r="F476" s="12"/>
      <c r="G476" s="13"/>
      <c r="R476" s="12"/>
    </row>
    <row r="477" customFormat="false" ht="15" hidden="false" customHeight="false" outlineLevel="0" collapsed="false">
      <c r="E477" s="12"/>
      <c r="F477" s="12"/>
      <c r="G477" s="13"/>
      <c r="R477" s="12"/>
    </row>
    <row r="478" customFormat="false" ht="15" hidden="false" customHeight="false" outlineLevel="0" collapsed="false">
      <c r="E478" s="12"/>
      <c r="F478" s="12"/>
      <c r="G478" s="13"/>
      <c r="R478" s="12"/>
    </row>
    <row r="479" customFormat="false" ht="15" hidden="false" customHeight="false" outlineLevel="0" collapsed="false">
      <c r="E479" s="12"/>
      <c r="F479" s="12"/>
      <c r="G479" s="13"/>
      <c r="R479" s="12"/>
    </row>
    <row r="480" customFormat="false" ht="15" hidden="false" customHeight="false" outlineLevel="0" collapsed="false">
      <c r="E480" s="12"/>
      <c r="F480" s="12"/>
      <c r="G480" s="13"/>
      <c r="R480" s="12"/>
    </row>
    <row r="481" customFormat="false" ht="15" hidden="false" customHeight="false" outlineLevel="0" collapsed="false">
      <c r="E481" s="12"/>
      <c r="F481" s="12"/>
      <c r="G481" s="13"/>
      <c r="R481" s="12"/>
    </row>
    <row r="482" customFormat="false" ht="15" hidden="false" customHeight="false" outlineLevel="0" collapsed="false">
      <c r="E482" s="12"/>
      <c r="F482" s="12"/>
      <c r="G482" s="13"/>
      <c r="R482" s="12"/>
    </row>
    <row r="483" customFormat="false" ht="15" hidden="false" customHeight="false" outlineLevel="0" collapsed="false">
      <c r="E483" s="12"/>
      <c r="F483" s="12"/>
      <c r="G483" s="13"/>
      <c r="R483" s="12"/>
    </row>
    <row r="484" customFormat="false" ht="15" hidden="false" customHeight="false" outlineLevel="0" collapsed="false">
      <c r="E484" s="12"/>
      <c r="F484" s="12"/>
      <c r="G484" s="13"/>
      <c r="R484" s="12"/>
    </row>
    <row r="485" customFormat="false" ht="15" hidden="false" customHeight="false" outlineLevel="0" collapsed="false">
      <c r="E485" s="12"/>
      <c r="F485" s="12"/>
      <c r="G485" s="13"/>
      <c r="R485" s="12"/>
    </row>
    <row r="486" customFormat="false" ht="15" hidden="false" customHeight="false" outlineLevel="0" collapsed="false">
      <c r="E486" s="12"/>
      <c r="F486" s="12"/>
      <c r="G486" s="13"/>
      <c r="R486" s="12"/>
    </row>
    <row r="487" customFormat="false" ht="15" hidden="false" customHeight="false" outlineLevel="0" collapsed="false">
      <c r="E487" s="12"/>
      <c r="F487" s="12"/>
      <c r="G487" s="13"/>
      <c r="R487" s="12"/>
    </row>
    <row r="488" customFormat="false" ht="15" hidden="false" customHeight="false" outlineLevel="0" collapsed="false">
      <c r="E488" s="12"/>
      <c r="F488" s="12"/>
      <c r="G488" s="13"/>
      <c r="R488" s="12"/>
    </row>
    <row r="489" customFormat="false" ht="15" hidden="false" customHeight="false" outlineLevel="0" collapsed="false">
      <c r="E489" s="12"/>
      <c r="F489" s="12"/>
      <c r="G489" s="13"/>
      <c r="R489" s="12"/>
    </row>
    <row r="490" customFormat="false" ht="15" hidden="false" customHeight="false" outlineLevel="0" collapsed="false">
      <c r="E490" s="12"/>
      <c r="F490" s="12"/>
      <c r="G490" s="13"/>
      <c r="R490" s="12"/>
    </row>
    <row r="491" customFormat="false" ht="15" hidden="false" customHeight="false" outlineLevel="0" collapsed="false">
      <c r="E491" s="12"/>
      <c r="F491" s="12"/>
      <c r="G491" s="13"/>
      <c r="R491" s="12"/>
    </row>
    <row r="492" customFormat="false" ht="15" hidden="false" customHeight="false" outlineLevel="0" collapsed="false">
      <c r="E492" s="12"/>
      <c r="F492" s="12"/>
      <c r="G492" s="13"/>
      <c r="R492" s="12"/>
    </row>
    <row r="493" customFormat="false" ht="15" hidden="false" customHeight="false" outlineLevel="0" collapsed="false">
      <c r="E493" s="12"/>
      <c r="F493" s="12"/>
      <c r="G493" s="13"/>
      <c r="R493" s="12"/>
    </row>
    <row r="494" customFormat="false" ht="15" hidden="false" customHeight="false" outlineLevel="0" collapsed="false">
      <c r="E494" s="12"/>
      <c r="F494" s="12"/>
      <c r="G494" s="13"/>
      <c r="R494" s="12"/>
    </row>
    <row r="495" customFormat="false" ht="15" hidden="false" customHeight="false" outlineLevel="0" collapsed="false">
      <c r="E495" s="12"/>
      <c r="F495" s="12"/>
      <c r="G495" s="13"/>
      <c r="R495" s="12"/>
    </row>
    <row r="496" customFormat="false" ht="15" hidden="false" customHeight="false" outlineLevel="0" collapsed="false">
      <c r="E496" s="12"/>
      <c r="F496" s="12"/>
      <c r="G496" s="13"/>
      <c r="R496" s="12"/>
    </row>
    <row r="497" customFormat="false" ht="15" hidden="false" customHeight="false" outlineLevel="0" collapsed="false">
      <c r="E497" s="12"/>
      <c r="F497" s="12"/>
      <c r="G497" s="13"/>
      <c r="R497" s="12"/>
    </row>
    <row r="498" customFormat="false" ht="15" hidden="false" customHeight="false" outlineLevel="0" collapsed="false">
      <c r="E498" s="12"/>
      <c r="F498" s="12"/>
      <c r="G498" s="13"/>
      <c r="R498" s="12"/>
    </row>
    <row r="499" customFormat="false" ht="15" hidden="false" customHeight="false" outlineLevel="0" collapsed="false">
      <c r="E499" s="12"/>
      <c r="F499" s="12"/>
      <c r="G499" s="13"/>
      <c r="R499" s="12"/>
    </row>
    <row r="500" customFormat="false" ht="15" hidden="false" customHeight="false" outlineLevel="0" collapsed="false">
      <c r="E500" s="12"/>
      <c r="F500" s="12"/>
      <c r="G500" s="13"/>
      <c r="R500" s="12"/>
    </row>
  </sheetData>
  <autoFilter ref="A1:R500"/>
  <dataValidations count="8">
    <dataValidation allowBlank="true" error="Pick a value from the dropdown list." errorStyle="stop" errorTitle="Invalid value" operator="between" showDropDown="false" showErrorMessage="true" showInputMessage="false" sqref="A2:A500" type="list">
      <formula1>Projects!$A$2:$A$100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H2:H500 J2:J500 L2:L500" type="list">
      <formula1>Resources!$A$2:$A$51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I2:I500 K2:K500 M2:M500" type="list">
      <formula1>Lists!$A$2:$A$30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O2:O500" type="list">
      <formula1>Lists!$C$2:$C$20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P2:P500" type="list">
      <formula1>Lists!$F$2:$F$10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Q2:Q500" type="list">
      <formula1>Lists!$H$2:$H$30</formula1>
      <formula2>0</formula2>
    </dataValidation>
    <dataValidation allowBlank="true" error="Enter a valid date." errorStyle="stop" operator="greaterThan" showDropDown="false" showErrorMessage="true" showInputMessage="false" sqref="E2:F500 R2:R500" type="date">
      <formula1>36526</formula1>
      <formula2>0</formula2>
    </dataValidation>
    <dataValidation allowBlank="true" error="Effort MD must be a number greater than 0." errorStyle="stop" operator="greaterThan" showDropDown="false" showErrorMessage="true" showInputMessage="false" sqref="G2:G5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7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4" t="s">
        <v>89</v>
      </c>
      <c r="B1" s="14" t="s">
        <v>22</v>
      </c>
      <c r="C1" s="14" t="s">
        <v>90</v>
      </c>
      <c r="D1" s="14" t="s">
        <v>91</v>
      </c>
      <c r="E1" s="14" t="s">
        <v>34</v>
      </c>
      <c r="F1" s="14" t="s">
        <v>92</v>
      </c>
      <c r="G1" s="14" t="s">
        <v>93</v>
      </c>
    </row>
    <row r="2" customFormat="false" ht="15" hidden="false" customHeight="false" outlineLevel="0" collapsed="false">
      <c r="A2" s="15" t="n">
        <f aca="false">IF('Project Register'!$A2="","",ROW('Project Register'!A2))</f>
        <v>2</v>
      </c>
      <c r="B2" s="15" t="str">
        <f aca="false">IF('Project Register'!$A2="","",'Project Register'!B2)</f>
        <v>DEMO-HRMS-001</v>
      </c>
      <c r="C2" s="15" t="n">
        <f aca="false">IF('Project Register'!$A2="","",IF(OR('Project Register'!E2="",'Project Register'!F2=""),"",IF('Project Register'!F2&lt;'Project Register'!E2,0,NETWORKDAYS.INTL('Project Register'!E2,'Project Register'!F2,"0000110",Holidays_Leave!$A$3:$A$62))))</f>
        <v>5</v>
      </c>
      <c r="D2" s="15" t="n">
        <f aca="false">IF('Project Register'!$A2="","",('Project Register'!H2&lt;&gt;"")+('Project Register'!J2&lt;&gt;"")+('Project Register'!L2&lt;&gt;""))</f>
        <v>1</v>
      </c>
      <c r="E2" s="16" t="n">
        <f aca="false">IF(OR(C2="",D2="",'Project Register'!G2=""),"",IF(OR(C2=0,D2=0),"",'Project Register'!G2/(C2*D2)))</f>
        <v>1</v>
      </c>
      <c r="F2" s="15" t="str">
        <f aca="false">IF('Project Register'!$A2="","",TRIM(IF(OR('Project Register'!E2="",'Project Register'!F2=""),"Missing date. ","")&amp;IF(AND('Project Register'!E2&lt;&gt;"",'Project Register'!F2&lt;&gt;"",'Project Register'!F2&lt;'Project Register'!E2),"End before start. ","")&amp;IF(NOT(ISNUMBER('Project Register'!G2)),"Effort missing. ","")&amp;IF(D2=0,"No resource. ","")&amp;IF(AND('Project Register'!H2&lt;&gt;"",'Project Register'!I2=""),"Role 1 missing. ","")&amp;IF(AND('Project Register'!J2&lt;&gt;"",'Project Register'!K2=""),"Role 2 missing. ","")&amp;IF(AND('Project Register'!L2&lt;&gt;"",'Project Register'!M2=""),"Role 3 missing. ","")&amp;IF(OR(AND('Project Register'!H2&lt;&gt;"",'Project Register'!H2='Project Register'!J2),AND('Project Register'!H2&lt;&gt;"",'Project Register'!H2='Project Register'!L2),AND('Project Register'!J2&lt;&gt;"",'Project Register'!J2='Project Register'!L2)),"Same person listed twice. ","")&amp;IF(AND('Project Register'!H2&lt;&gt;"",COUNTIF(Resources!$A$2:$A$51,'Project Register'!H2)=0),"Resource 1 not in Resources sheet. ","")&amp;IF(AND('Project Register'!J2&lt;&gt;"",COUNTIF(Resources!$A$2:$A$51,'Project Register'!J2)=0),"Resource 2 not in Resources sheet. ","")&amp;IF(AND('Project Register'!L2&lt;&gt;"",COUNTIF(Resources!$A$2:$A$51,'Project Register'!L2)=0),"Resource 3 not in Resources sheet. ","")&amp;IF('Project Register'!O2="","Test Status missing. ","")&amp;IF(AND(ISNUMBER(E2),E2&gt;1),"This task alone needs over 100% per person. ","")&amp;IF(AND('Project Register'!Q2="Deployed in Live",'Project Register'!R2=""),"Release Date blank (import date will be used). ","")))</f>
        <v/>
      </c>
      <c r="G2" s="17" t="str">
        <f aca="false">IF('Project Register'!$A2="","",IF(F2="","OK","Check"))</f>
        <v>OK</v>
      </c>
    </row>
    <row r="3" customFormat="false" ht="15" hidden="false" customHeight="false" outlineLevel="0" collapsed="false">
      <c r="A3" s="15" t="n">
        <f aca="false">IF('Project Register'!$A3="","",ROW('Project Register'!A3))</f>
        <v>3</v>
      </c>
      <c r="B3" s="15" t="str">
        <f aca="false">IF('Project Register'!$A3="","",'Project Register'!B3)</f>
        <v>DEMO-REC-001</v>
      </c>
      <c r="C3" s="15" t="n">
        <f aca="false">IF('Project Register'!$A3="","",IF(OR('Project Register'!E3="",'Project Register'!F3=""),"",IF('Project Register'!F3&lt;'Project Register'!E3,0,NETWORKDAYS.INTL('Project Register'!E3,'Project Register'!F3,"0000110",Holidays_Leave!$A$3:$A$62))))</f>
        <v>5</v>
      </c>
      <c r="D3" s="15" t="n">
        <f aca="false">IF('Project Register'!$A3="","",('Project Register'!H3&lt;&gt;"")+('Project Register'!J3&lt;&gt;"")+('Project Register'!L3&lt;&gt;""))</f>
        <v>2</v>
      </c>
      <c r="E3" s="16" t="n">
        <f aca="false">IF(OR(C3="",D3="",'Project Register'!G3=""),"",IF(OR(C3=0,D3=0),"",'Project Register'!G3/(C3*D3)))</f>
        <v>0.3</v>
      </c>
      <c r="F3" s="15" t="str">
        <f aca="false">IF('Project Register'!$A3="","",TRIM(IF(OR('Project Register'!E3="",'Project Register'!F3=""),"Missing date. ","")&amp;IF(AND('Project Register'!E3&lt;&gt;"",'Project Register'!F3&lt;&gt;"",'Project Register'!F3&lt;'Project Register'!E3),"End before start. ","")&amp;IF(NOT(ISNUMBER('Project Register'!G3)),"Effort missing. ","")&amp;IF(D3=0,"No resource. ","")&amp;IF(AND('Project Register'!H3&lt;&gt;"",'Project Register'!I3=""),"Role 1 missing. ","")&amp;IF(AND('Project Register'!J3&lt;&gt;"",'Project Register'!K3=""),"Role 2 missing. ","")&amp;IF(AND('Project Register'!L3&lt;&gt;"",'Project Register'!M3=""),"Role 3 missing. ","")&amp;IF(OR(AND('Project Register'!H3&lt;&gt;"",'Project Register'!H3='Project Register'!J3),AND('Project Register'!H3&lt;&gt;"",'Project Register'!H3='Project Register'!L3),AND('Project Register'!J3&lt;&gt;"",'Project Register'!J3='Project Register'!L3)),"Same person listed twice. ","")&amp;IF(AND('Project Register'!H3&lt;&gt;"",COUNTIF(Resources!$A$2:$A$51,'Project Register'!H3)=0),"Resource 1 not in Resources sheet. ","")&amp;IF(AND('Project Register'!J3&lt;&gt;"",COUNTIF(Resources!$A$2:$A$51,'Project Register'!J3)=0),"Resource 2 not in Resources sheet. ","")&amp;IF(AND('Project Register'!L3&lt;&gt;"",COUNTIF(Resources!$A$2:$A$51,'Project Register'!L3)=0),"Resource 3 not in Resources sheet. ","")&amp;IF('Project Register'!O3="","Test Status missing. ","")&amp;IF(AND(ISNUMBER(E3),E3&gt;1),"This task alone needs over 100% per person. ","")&amp;IF(AND('Project Register'!Q3="Deployed in Live",'Project Register'!R3=""),"Release Date blank (import date will be used). ","")))</f>
        <v/>
      </c>
      <c r="G3" s="17" t="str">
        <f aca="false">IF('Project Register'!$A3="","",IF(F3="","OK","Check"))</f>
        <v>OK</v>
      </c>
    </row>
    <row r="4" customFormat="false" ht="15" hidden="false" customHeight="false" outlineLevel="0" collapsed="false">
      <c r="A4" s="15" t="n">
        <f aca="false">IF('Project Register'!$A4="","",ROW('Project Register'!A4))</f>
        <v>4</v>
      </c>
      <c r="B4" s="15" t="str">
        <f aca="false">IF('Project Register'!$A4="","",'Project Register'!B4)</f>
        <v>DEMO-BHP-001</v>
      </c>
      <c r="C4" s="15" t="n">
        <f aca="false">IF('Project Register'!$A4="","",IF(OR('Project Register'!E4="",'Project Register'!F4=""),"",IF('Project Register'!F4&lt;'Project Register'!E4,0,NETWORKDAYS.INTL('Project Register'!E4,'Project Register'!F4,"0000110",Holidays_Leave!$A$3:$A$62))))</f>
        <v>5</v>
      </c>
      <c r="D4" s="15" t="n">
        <f aca="false">IF('Project Register'!$A4="","",('Project Register'!H4&lt;&gt;"")+('Project Register'!J4&lt;&gt;"")+('Project Register'!L4&lt;&gt;""))</f>
        <v>1</v>
      </c>
      <c r="E4" s="16" t="n">
        <f aca="false">IF(OR(C4="",D4="",'Project Register'!G4=""),"",IF(OR(C4=0,D4=0),"",'Project Register'!G4/(C4*D4)))</f>
        <v>0.8</v>
      </c>
      <c r="F4" s="15" t="str">
        <f aca="false">IF('Project Register'!$A4="","",TRIM(IF(OR('Project Register'!E4="",'Project Register'!F4=""),"Missing date. ","")&amp;IF(AND('Project Register'!E4&lt;&gt;"",'Project Register'!F4&lt;&gt;"",'Project Register'!F4&lt;'Project Register'!E4),"End before start. ","")&amp;IF(NOT(ISNUMBER('Project Register'!G4)),"Effort missing. ","")&amp;IF(D4=0,"No resource. ","")&amp;IF(AND('Project Register'!H4&lt;&gt;"",'Project Register'!I4=""),"Role 1 missing. ","")&amp;IF(AND('Project Register'!J4&lt;&gt;"",'Project Register'!K4=""),"Role 2 missing. ","")&amp;IF(AND('Project Register'!L4&lt;&gt;"",'Project Register'!M4=""),"Role 3 missing. ","")&amp;IF(OR(AND('Project Register'!H4&lt;&gt;"",'Project Register'!H4='Project Register'!J4),AND('Project Register'!H4&lt;&gt;"",'Project Register'!H4='Project Register'!L4),AND('Project Register'!J4&lt;&gt;"",'Project Register'!J4='Project Register'!L4)),"Same person listed twice. ","")&amp;IF(AND('Project Register'!H4&lt;&gt;"",COUNTIF(Resources!$A$2:$A$51,'Project Register'!H4)=0),"Resource 1 not in Resources sheet. ","")&amp;IF(AND('Project Register'!J4&lt;&gt;"",COUNTIF(Resources!$A$2:$A$51,'Project Register'!J4)=0),"Resource 2 not in Resources sheet. ","")&amp;IF(AND('Project Register'!L4&lt;&gt;"",COUNTIF(Resources!$A$2:$A$51,'Project Register'!L4)=0),"Resource 3 not in Resources sheet. ","")&amp;IF('Project Register'!O4="","Test Status missing. ","")&amp;IF(AND(ISNUMBER(E4),E4&gt;1),"This task alone needs over 100% per person. ","")&amp;IF(AND('Project Register'!Q4="Deployed in Live",'Project Register'!R4=""),"Release Date blank (import date will be used). ","")))</f>
        <v/>
      </c>
      <c r="G4" s="17" t="str">
        <f aca="false">IF('Project Register'!$A4="","",IF(F4="","OK","Check"))</f>
        <v>OK</v>
      </c>
    </row>
    <row r="5" customFormat="false" ht="15" hidden="false" customHeight="false" outlineLevel="0" collapsed="false">
      <c r="A5" s="15" t="n">
        <f aca="false">IF('Project Register'!$A5="","",ROW('Project Register'!A5))</f>
        <v>5</v>
      </c>
      <c r="B5" s="15" t="str">
        <f aca="false">IF('Project Register'!$A5="","",'Project Register'!B5)</f>
        <v>DEMO-FM-001</v>
      </c>
      <c r="C5" s="15" t="n">
        <f aca="false">IF('Project Register'!$A5="","",IF(OR('Project Register'!E5="",'Project Register'!F5=""),"",IF('Project Register'!F5&lt;'Project Register'!E5,0,NETWORKDAYS.INTL('Project Register'!E5,'Project Register'!F5,"0000110",Holidays_Leave!$A$3:$A$62))))</f>
        <v>3</v>
      </c>
      <c r="D5" s="15" t="n">
        <f aca="false">IF('Project Register'!$A5="","",('Project Register'!H5&lt;&gt;"")+('Project Register'!J5&lt;&gt;"")+('Project Register'!L5&lt;&gt;""))</f>
        <v>1</v>
      </c>
      <c r="E5" s="16" t="n">
        <f aca="false">IF(OR(C5="",D5="",'Project Register'!G5=""),"",IF(OR(C5=0,D5=0),"",'Project Register'!G5/(C5*D5)))</f>
        <v>1</v>
      </c>
      <c r="F5" s="15" t="str">
        <f aca="false">IF('Project Register'!$A5="","",TRIM(IF(OR('Project Register'!E5="",'Project Register'!F5=""),"Missing date. ","")&amp;IF(AND('Project Register'!E5&lt;&gt;"",'Project Register'!F5&lt;&gt;"",'Project Register'!F5&lt;'Project Register'!E5),"End before start. ","")&amp;IF(NOT(ISNUMBER('Project Register'!G5)),"Effort missing. ","")&amp;IF(D5=0,"No resource. ","")&amp;IF(AND('Project Register'!H5&lt;&gt;"",'Project Register'!I5=""),"Role 1 missing. ","")&amp;IF(AND('Project Register'!J5&lt;&gt;"",'Project Register'!K5=""),"Role 2 missing. ","")&amp;IF(AND('Project Register'!L5&lt;&gt;"",'Project Register'!M5=""),"Role 3 missing. ","")&amp;IF(OR(AND('Project Register'!H5&lt;&gt;"",'Project Register'!H5='Project Register'!J5),AND('Project Register'!H5&lt;&gt;"",'Project Register'!H5='Project Register'!L5),AND('Project Register'!J5&lt;&gt;"",'Project Register'!J5='Project Register'!L5)),"Same person listed twice. ","")&amp;IF(AND('Project Register'!H5&lt;&gt;"",COUNTIF(Resources!$A$2:$A$51,'Project Register'!H5)=0),"Resource 1 not in Resources sheet. ","")&amp;IF(AND('Project Register'!J5&lt;&gt;"",COUNTIF(Resources!$A$2:$A$51,'Project Register'!J5)=0),"Resource 2 not in Resources sheet. ","")&amp;IF(AND('Project Register'!L5&lt;&gt;"",COUNTIF(Resources!$A$2:$A$51,'Project Register'!L5)=0),"Resource 3 not in Resources sheet. ","")&amp;IF('Project Register'!O5="","Test Status missing. ","")&amp;IF(AND(ISNUMBER(E5),E5&gt;1),"This task alone needs over 100% per person. ","")&amp;IF(AND('Project Register'!Q5="Deployed in Live",'Project Register'!R5=""),"Release Date blank (import date will be used). ","")))</f>
        <v/>
      </c>
      <c r="G5" s="17" t="str">
        <f aca="false">IF('Project Register'!$A5="","",IF(F5="","OK","Check"))</f>
        <v>OK</v>
      </c>
    </row>
    <row r="6" customFormat="false" ht="15" hidden="false" customHeight="false" outlineLevel="0" collapsed="false">
      <c r="A6" s="15" t="n">
        <f aca="false">IF('Project Register'!$A6="","",ROW('Project Register'!A6))</f>
        <v>6</v>
      </c>
      <c r="B6" s="15" t="str">
        <f aca="false">IF('Project Register'!$A6="","",'Project Register'!B6)</f>
        <v>DEMO-CMN-001</v>
      </c>
      <c r="C6" s="15" t="n">
        <f aca="false">IF('Project Register'!$A6="","",IF(OR('Project Register'!E6="",'Project Register'!F6=""),"",IF('Project Register'!F6&lt;'Project Register'!E6,0,NETWORKDAYS.INTL('Project Register'!E6,'Project Register'!F6,"0000110",Holidays_Leave!$A$3:$A$62))))</f>
        <v>5</v>
      </c>
      <c r="D6" s="15" t="n">
        <f aca="false">IF('Project Register'!$A6="","",('Project Register'!H6&lt;&gt;"")+('Project Register'!J6&lt;&gt;"")+('Project Register'!L6&lt;&gt;""))</f>
        <v>2</v>
      </c>
      <c r="E6" s="16" t="n">
        <f aca="false">IF(OR(C6="",D6="",'Project Register'!G6=""),"",IF(OR(C6=0,D6=0),"",'Project Register'!G6/(C6*D6)))</f>
        <v>0.4</v>
      </c>
      <c r="F6" s="15" t="str">
        <f aca="false">IF('Project Register'!$A6="","",TRIM(IF(OR('Project Register'!E6="",'Project Register'!F6=""),"Missing date. ","")&amp;IF(AND('Project Register'!E6&lt;&gt;"",'Project Register'!F6&lt;&gt;"",'Project Register'!F6&lt;'Project Register'!E6),"End before start. ","")&amp;IF(NOT(ISNUMBER('Project Register'!G6)),"Effort missing. ","")&amp;IF(D6=0,"No resource. ","")&amp;IF(AND('Project Register'!H6&lt;&gt;"",'Project Register'!I6=""),"Role 1 missing. ","")&amp;IF(AND('Project Register'!J6&lt;&gt;"",'Project Register'!K6=""),"Role 2 missing. ","")&amp;IF(AND('Project Register'!L6&lt;&gt;"",'Project Register'!M6=""),"Role 3 missing. ","")&amp;IF(OR(AND('Project Register'!H6&lt;&gt;"",'Project Register'!H6='Project Register'!J6),AND('Project Register'!H6&lt;&gt;"",'Project Register'!H6='Project Register'!L6),AND('Project Register'!J6&lt;&gt;"",'Project Register'!J6='Project Register'!L6)),"Same person listed twice. ","")&amp;IF(AND('Project Register'!H6&lt;&gt;"",COUNTIF(Resources!$A$2:$A$51,'Project Register'!H6)=0),"Resource 1 not in Resources sheet. ","")&amp;IF(AND('Project Register'!J6&lt;&gt;"",COUNTIF(Resources!$A$2:$A$51,'Project Register'!J6)=0),"Resource 2 not in Resources sheet. ","")&amp;IF(AND('Project Register'!L6&lt;&gt;"",COUNTIF(Resources!$A$2:$A$51,'Project Register'!L6)=0),"Resource 3 not in Resources sheet. ","")&amp;IF('Project Register'!O6="","Test Status missing. ","")&amp;IF(AND(ISNUMBER(E6),E6&gt;1),"This task alone needs over 100% per person. ","")&amp;IF(AND('Project Register'!Q6="Deployed in Live",'Project Register'!R6=""),"Release Date blank (import date will be used). ","")))</f>
        <v/>
      </c>
      <c r="G6" s="17" t="str">
        <f aca="false">IF('Project Register'!$A6="","",IF(F6="","OK","Check"))</f>
        <v>OK</v>
      </c>
    </row>
    <row r="7" customFormat="false" ht="15" hidden="false" customHeight="false" outlineLevel="0" collapsed="false">
      <c r="A7" s="15" t="n">
        <f aca="false">IF('Project Register'!$A7="","",ROW('Project Register'!A7))</f>
        <v>7</v>
      </c>
      <c r="B7" s="15" t="str">
        <f aca="false">IF('Project Register'!$A7="","",'Project Register'!B7)</f>
        <v>DEMO-ED-001</v>
      </c>
      <c r="C7" s="15" t="n">
        <f aca="false">IF('Project Register'!$A7="","",IF(OR('Project Register'!E7="",'Project Register'!F7=""),"",IF('Project Register'!F7&lt;'Project Register'!E7,0,NETWORKDAYS.INTL('Project Register'!E7,'Project Register'!F7,"0000110",Holidays_Leave!$A$3:$A$62))))</f>
        <v>5</v>
      </c>
      <c r="D7" s="15" t="n">
        <f aca="false">IF('Project Register'!$A7="","",('Project Register'!H7&lt;&gt;"")+('Project Register'!J7&lt;&gt;"")+('Project Register'!L7&lt;&gt;""))</f>
        <v>1</v>
      </c>
      <c r="E7" s="16" t="n">
        <f aca="false">IF(OR(C7="",D7="",'Project Register'!G7=""),"",IF(OR(C7=0,D7=0),"",'Project Register'!G7/(C7*D7)))</f>
        <v>0.4</v>
      </c>
      <c r="F7" s="15" t="str">
        <f aca="false">IF('Project Register'!$A7="","",TRIM(IF(OR('Project Register'!E7="",'Project Register'!F7=""),"Missing date. ","")&amp;IF(AND('Project Register'!E7&lt;&gt;"",'Project Register'!F7&lt;&gt;"",'Project Register'!F7&lt;'Project Register'!E7),"End before start. ","")&amp;IF(NOT(ISNUMBER('Project Register'!G7)),"Effort missing. ","")&amp;IF(D7=0,"No resource. ","")&amp;IF(AND('Project Register'!H7&lt;&gt;"",'Project Register'!I7=""),"Role 1 missing. ","")&amp;IF(AND('Project Register'!J7&lt;&gt;"",'Project Register'!K7=""),"Role 2 missing. ","")&amp;IF(AND('Project Register'!L7&lt;&gt;"",'Project Register'!M7=""),"Role 3 missing. ","")&amp;IF(OR(AND('Project Register'!H7&lt;&gt;"",'Project Register'!H7='Project Register'!J7),AND('Project Register'!H7&lt;&gt;"",'Project Register'!H7='Project Register'!L7),AND('Project Register'!J7&lt;&gt;"",'Project Register'!J7='Project Register'!L7)),"Same person listed twice. ","")&amp;IF(AND('Project Register'!H7&lt;&gt;"",COUNTIF(Resources!$A$2:$A$51,'Project Register'!H7)=0),"Resource 1 not in Resources sheet. ","")&amp;IF(AND('Project Register'!J7&lt;&gt;"",COUNTIF(Resources!$A$2:$A$51,'Project Register'!J7)=0),"Resource 2 not in Resources sheet. ","")&amp;IF(AND('Project Register'!L7&lt;&gt;"",COUNTIF(Resources!$A$2:$A$51,'Project Register'!L7)=0),"Resource 3 not in Resources sheet. ","")&amp;IF('Project Register'!O7="","Test Status missing. ","")&amp;IF(AND(ISNUMBER(E7),E7&gt;1),"This task alone needs over 100% per person. ","")&amp;IF(AND('Project Register'!Q7="Deployed in Live",'Project Register'!R7=""),"Release Date blank (import date will be used). ","")))</f>
        <v/>
      </c>
      <c r="G7" s="17" t="str">
        <f aca="false">IF('Project Register'!$A7="","",IF(F7="","OK","Check"))</f>
        <v>OK</v>
      </c>
    </row>
    <row r="8" customFormat="false" ht="15" hidden="false" customHeight="false" outlineLevel="0" collapsed="false">
      <c r="A8" s="15" t="n">
        <f aca="false">IF('Project Register'!$A8="","",ROW('Project Register'!A8))</f>
        <v>8</v>
      </c>
      <c r="B8" s="15" t="str">
        <f aca="false">IF('Project Register'!$A8="","",'Project Register'!B8)</f>
        <v>DEMO-BSL-001</v>
      </c>
      <c r="C8" s="15" t="n">
        <f aca="false">IF('Project Register'!$A8="","",IF(OR('Project Register'!E8="",'Project Register'!F8=""),"",IF('Project Register'!F8&lt;'Project Register'!E8,0,NETWORKDAYS.INTL('Project Register'!E8,'Project Register'!F8,"0000110",Holidays_Leave!$A$3:$A$62))))</f>
        <v>5</v>
      </c>
      <c r="D8" s="15" t="n">
        <f aca="false">IF('Project Register'!$A8="","",('Project Register'!H8&lt;&gt;"")+('Project Register'!J8&lt;&gt;"")+('Project Register'!L8&lt;&gt;""))</f>
        <v>1</v>
      </c>
      <c r="E8" s="16" t="n">
        <f aca="false">IF(OR(C8="",D8="",'Project Register'!G8=""),"",IF(OR(C8=0,D8=0),"",'Project Register'!G8/(C8*D8)))</f>
        <v>1</v>
      </c>
      <c r="F8" s="15" t="str">
        <f aca="false">IF('Project Register'!$A8="","",TRIM(IF(OR('Project Register'!E8="",'Project Register'!F8=""),"Missing date. ","")&amp;IF(AND('Project Register'!E8&lt;&gt;"",'Project Register'!F8&lt;&gt;"",'Project Register'!F8&lt;'Project Register'!E8),"End before start. ","")&amp;IF(NOT(ISNUMBER('Project Register'!G8)),"Effort missing. ","")&amp;IF(D8=0,"No resource. ","")&amp;IF(AND('Project Register'!H8&lt;&gt;"",'Project Register'!I8=""),"Role 1 missing. ","")&amp;IF(AND('Project Register'!J8&lt;&gt;"",'Project Register'!K8=""),"Role 2 missing. ","")&amp;IF(AND('Project Register'!L8&lt;&gt;"",'Project Register'!M8=""),"Role 3 missing. ","")&amp;IF(OR(AND('Project Register'!H8&lt;&gt;"",'Project Register'!H8='Project Register'!J8),AND('Project Register'!H8&lt;&gt;"",'Project Register'!H8='Project Register'!L8),AND('Project Register'!J8&lt;&gt;"",'Project Register'!J8='Project Register'!L8)),"Same person listed twice. ","")&amp;IF(AND('Project Register'!H8&lt;&gt;"",COUNTIF(Resources!$A$2:$A$51,'Project Register'!H8)=0),"Resource 1 not in Resources sheet. ","")&amp;IF(AND('Project Register'!J8&lt;&gt;"",COUNTIF(Resources!$A$2:$A$51,'Project Register'!J8)=0),"Resource 2 not in Resources sheet. ","")&amp;IF(AND('Project Register'!L8&lt;&gt;"",COUNTIF(Resources!$A$2:$A$51,'Project Register'!L8)=0),"Resource 3 not in Resources sheet. ","")&amp;IF('Project Register'!O8="","Test Status missing. ","")&amp;IF(AND(ISNUMBER(E8),E8&gt;1),"This task alone needs over 100% per person. ","")&amp;IF(AND('Project Register'!Q8="Deployed in Live",'Project Register'!R8=""),"Release Date blank (import date will be used). ","")))</f>
        <v/>
      </c>
      <c r="G8" s="17" t="str">
        <f aca="false">IF('Project Register'!$A8="","",IF(F8="","OK","Check"))</f>
        <v>OK</v>
      </c>
    </row>
    <row r="9" customFormat="false" ht="15" hidden="false" customHeight="false" outlineLevel="0" collapsed="false">
      <c r="A9" s="15" t="n">
        <f aca="false">IF('Project Register'!$A9="","",ROW('Project Register'!A9))</f>
        <v>9</v>
      </c>
      <c r="B9" s="15" t="str">
        <f aca="false">IF('Project Register'!$A9="","",'Project Register'!B9)</f>
        <v>DEMO-BRAC-001</v>
      </c>
      <c r="C9" s="15" t="n">
        <f aca="false">IF('Project Register'!$A9="","",IF(OR('Project Register'!E9="",'Project Register'!F9=""),"",IF('Project Register'!F9&lt;'Project Register'!E9,0,NETWORKDAYS.INTL('Project Register'!E9,'Project Register'!F9,"0000110",Holidays_Leave!$A$3:$A$62))))</f>
        <v>5</v>
      </c>
      <c r="D9" s="15" t="n">
        <f aca="false">IF('Project Register'!$A9="","",('Project Register'!H9&lt;&gt;"")+('Project Register'!J9&lt;&gt;"")+('Project Register'!L9&lt;&gt;""))</f>
        <v>3</v>
      </c>
      <c r="E9" s="16" t="n">
        <f aca="false">IF(OR(C9="",D9="",'Project Register'!G9=""),"",IF(OR(C9=0,D9=0),"",'Project Register'!G9/(C9*D9)))</f>
        <v>0.4</v>
      </c>
      <c r="F9" s="15" t="str">
        <f aca="false">IF('Project Register'!$A9="","",TRIM(IF(OR('Project Register'!E9="",'Project Register'!F9=""),"Missing date. ","")&amp;IF(AND('Project Register'!E9&lt;&gt;"",'Project Register'!F9&lt;&gt;"",'Project Register'!F9&lt;'Project Register'!E9),"End before start. ","")&amp;IF(NOT(ISNUMBER('Project Register'!G9)),"Effort missing. ","")&amp;IF(D9=0,"No resource. ","")&amp;IF(AND('Project Register'!H9&lt;&gt;"",'Project Register'!I9=""),"Role 1 missing. ","")&amp;IF(AND('Project Register'!J9&lt;&gt;"",'Project Register'!K9=""),"Role 2 missing. ","")&amp;IF(AND('Project Register'!L9&lt;&gt;"",'Project Register'!M9=""),"Role 3 missing. ","")&amp;IF(OR(AND('Project Register'!H9&lt;&gt;"",'Project Register'!H9='Project Register'!J9),AND('Project Register'!H9&lt;&gt;"",'Project Register'!H9='Project Register'!L9),AND('Project Register'!J9&lt;&gt;"",'Project Register'!J9='Project Register'!L9)),"Same person listed twice. ","")&amp;IF(AND('Project Register'!H9&lt;&gt;"",COUNTIF(Resources!$A$2:$A$51,'Project Register'!H9)=0),"Resource 1 not in Resources sheet. ","")&amp;IF(AND('Project Register'!J9&lt;&gt;"",COUNTIF(Resources!$A$2:$A$51,'Project Register'!J9)=0),"Resource 2 not in Resources sheet. ","")&amp;IF(AND('Project Register'!L9&lt;&gt;"",COUNTIF(Resources!$A$2:$A$51,'Project Register'!L9)=0),"Resource 3 not in Resources sheet. ","")&amp;IF('Project Register'!O9="","Test Status missing. ","")&amp;IF(AND(ISNUMBER(E9),E9&gt;1),"This task alone needs over 100% per person. ","")&amp;IF(AND('Project Register'!Q9="Deployed in Live",'Project Register'!R9=""),"Release Date blank (import date will be used). ","")))</f>
        <v/>
      </c>
      <c r="G9" s="17" t="str">
        <f aca="false">IF('Project Register'!$A9="","",IF(F9="","OK","Check"))</f>
        <v>OK</v>
      </c>
    </row>
    <row r="10" customFormat="false" ht="15" hidden="false" customHeight="false" outlineLevel="0" collapsed="false">
      <c r="A10" s="15" t="n">
        <f aca="false">IF('Project Register'!$A10="","",ROW('Project Register'!A10))</f>
        <v>10</v>
      </c>
      <c r="B10" s="15" t="str">
        <f aca="false">IF('Project Register'!$A10="","",'Project Register'!B10)</f>
        <v>DEMO-BBSO-001</v>
      </c>
      <c r="C10" s="15" t="n">
        <f aca="false">IF('Project Register'!$A10="","",IF(OR('Project Register'!E10="",'Project Register'!F10=""),"",IF('Project Register'!F10&lt;'Project Register'!E10,0,NETWORKDAYS.INTL('Project Register'!E10,'Project Register'!F10,"0000110",Holidays_Leave!$A$3:$A$62))))</f>
        <v>5</v>
      </c>
      <c r="D10" s="15" t="n">
        <f aca="false">IF('Project Register'!$A10="","",('Project Register'!H10&lt;&gt;"")+('Project Register'!J10&lt;&gt;"")+('Project Register'!L10&lt;&gt;""))</f>
        <v>1</v>
      </c>
      <c r="E10" s="16" t="n">
        <f aca="false">IF(OR(C10="",D10="",'Project Register'!G10=""),"",IF(OR(C10=0,D10=0),"",'Project Register'!G10/(C10*D10)))</f>
        <v>1</v>
      </c>
      <c r="F10" s="15" t="str">
        <f aca="false">IF('Project Register'!$A10="","",TRIM(IF(OR('Project Register'!E10="",'Project Register'!F10=""),"Missing date. ","")&amp;IF(AND('Project Register'!E10&lt;&gt;"",'Project Register'!F10&lt;&gt;"",'Project Register'!F10&lt;'Project Register'!E10),"End before start. ","")&amp;IF(NOT(ISNUMBER('Project Register'!G10)),"Effort missing. ","")&amp;IF(D10=0,"No resource. ","")&amp;IF(AND('Project Register'!H10&lt;&gt;"",'Project Register'!I10=""),"Role 1 missing. ","")&amp;IF(AND('Project Register'!J10&lt;&gt;"",'Project Register'!K10=""),"Role 2 missing. ","")&amp;IF(AND('Project Register'!L10&lt;&gt;"",'Project Register'!M10=""),"Role 3 missing. ","")&amp;IF(OR(AND('Project Register'!H10&lt;&gt;"",'Project Register'!H10='Project Register'!J10),AND('Project Register'!H10&lt;&gt;"",'Project Register'!H10='Project Register'!L10),AND('Project Register'!J10&lt;&gt;"",'Project Register'!J10='Project Register'!L10)),"Same person listed twice. ","")&amp;IF(AND('Project Register'!H10&lt;&gt;"",COUNTIF(Resources!$A$2:$A$51,'Project Register'!H10)=0),"Resource 1 not in Resources sheet. ","")&amp;IF(AND('Project Register'!J10&lt;&gt;"",COUNTIF(Resources!$A$2:$A$51,'Project Register'!J10)=0),"Resource 2 not in Resources sheet. ","")&amp;IF(AND('Project Register'!L10&lt;&gt;"",COUNTIF(Resources!$A$2:$A$51,'Project Register'!L10)=0),"Resource 3 not in Resources sheet. ","")&amp;IF('Project Register'!O10="","Test Status missing. ","")&amp;IF(AND(ISNUMBER(E10),E10&gt;1),"This task alone needs over 100% per person. ","")&amp;IF(AND('Project Register'!Q10="Deployed in Live",'Project Register'!R10=""),"Release Date blank (import date will be used). ","")))</f>
        <v/>
      </c>
      <c r="G10" s="17" t="str">
        <f aca="false">IF('Project Register'!$A10="","",IF(F10="","OK","Check"))</f>
        <v>OK</v>
      </c>
    </row>
    <row r="11" customFormat="false" ht="15" hidden="false" customHeight="false" outlineLevel="0" collapsed="false">
      <c r="A11" s="15" t="str">
        <f aca="false">IF('Project Register'!$A11="","",ROW('Project Register'!A11))</f>
        <v/>
      </c>
      <c r="B11" s="15" t="str">
        <f aca="false">IF('Project Register'!$A11="","",'Project Register'!B11)</f>
        <v/>
      </c>
      <c r="C11" s="15" t="str">
        <f aca="false">IF('Project Register'!$A11="","",IF(OR('Project Register'!E11="",'Project Register'!F11=""),"",IF('Project Register'!F11&lt;'Project Register'!E11,0,NETWORKDAYS.INTL('Project Register'!E11,'Project Register'!F11,"0000110",Holidays_Leave!$A$3:$A$62))))</f>
        <v/>
      </c>
      <c r="D11" s="15" t="str">
        <f aca="false">IF('Project Register'!$A11="","",('Project Register'!H11&lt;&gt;"")+('Project Register'!J11&lt;&gt;"")+('Project Register'!L11&lt;&gt;""))</f>
        <v/>
      </c>
      <c r="E11" s="16" t="str">
        <f aca="false">IF(OR(C11="",D11="",'Project Register'!G11=""),"",IF(OR(C11=0,D11=0),"",'Project Register'!G11/(C11*D11)))</f>
        <v/>
      </c>
      <c r="F11" s="15" t="str">
        <f aca="false">IF('Project Register'!$A11="","",TRIM(IF(OR('Project Register'!E11="",'Project Register'!F11=""),"Missing date. ","")&amp;IF(AND('Project Register'!E11&lt;&gt;"",'Project Register'!F11&lt;&gt;"",'Project Register'!F11&lt;'Project Register'!E11),"End before start. ","")&amp;IF(NOT(ISNUMBER('Project Register'!G11)),"Effort missing. ","")&amp;IF(D11=0,"No resource. ","")&amp;IF(AND('Project Register'!H11&lt;&gt;"",'Project Register'!I11=""),"Role 1 missing. ","")&amp;IF(AND('Project Register'!J11&lt;&gt;"",'Project Register'!K11=""),"Role 2 missing. ","")&amp;IF(AND('Project Register'!L11&lt;&gt;"",'Project Register'!M11=""),"Role 3 missing. ","")&amp;IF(OR(AND('Project Register'!H11&lt;&gt;"",'Project Register'!H11='Project Register'!J11),AND('Project Register'!H11&lt;&gt;"",'Project Register'!H11='Project Register'!L11),AND('Project Register'!J11&lt;&gt;"",'Project Register'!J11='Project Register'!L11)),"Same person listed twice. ","")&amp;IF(AND('Project Register'!H11&lt;&gt;"",COUNTIF(Resources!$A$2:$A$51,'Project Register'!H11)=0),"Resource 1 not in Resources sheet. ","")&amp;IF(AND('Project Register'!J11&lt;&gt;"",COUNTIF(Resources!$A$2:$A$51,'Project Register'!J11)=0),"Resource 2 not in Resources sheet. ","")&amp;IF(AND('Project Register'!L11&lt;&gt;"",COUNTIF(Resources!$A$2:$A$51,'Project Register'!L11)=0),"Resource 3 not in Resources sheet. ","")&amp;IF('Project Register'!O11="","Test Status missing. ","")&amp;IF(AND(ISNUMBER(E11),E11&gt;1),"This task alone needs over 100% per person. ","")&amp;IF(AND('Project Register'!Q11="Deployed in Live",'Project Register'!R11=""),"Release Date blank (import date will be used). ","")))</f>
        <v/>
      </c>
      <c r="G11" s="17" t="str">
        <f aca="false">IF('Project Register'!$A11="","",IF(F11="","OK","Check"))</f>
        <v/>
      </c>
    </row>
    <row r="12" customFormat="false" ht="15" hidden="false" customHeight="false" outlineLevel="0" collapsed="false">
      <c r="A12" s="15" t="str">
        <f aca="false">IF('Project Register'!$A12="","",ROW('Project Register'!A12))</f>
        <v/>
      </c>
      <c r="B12" s="15" t="str">
        <f aca="false">IF('Project Register'!$A12="","",'Project Register'!B12)</f>
        <v/>
      </c>
      <c r="C12" s="15" t="str">
        <f aca="false">IF('Project Register'!$A12="","",IF(OR('Project Register'!E12="",'Project Register'!F12=""),"",IF('Project Register'!F12&lt;'Project Register'!E12,0,NETWORKDAYS.INTL('Project Register'!E12,'Project Register'!F12,"0000110",Holidays_Leave!$A$3:$A$62))))</f>
        <v/>
      </c>
      <c r="D12" s="15" t="str">
        <f aca="false">IF('Project Register'!$A12="","",('Project Register'!H12&lt;&gt;"")+('Project Register'!J12&lt;&gt;"")+('Project Register'!L12&lt;&gt;""))</f>
        <v/>
      </c>
      <c r="E12" s="16" t="str">
        <f aca="false">IF(OR(C12="",D12="",'Project Register'!G12=""),"",IF(OR(C12=0,D12=0),"",'Project Register'!G12/(C12*D12)))</f>
        <v/>
      </c>
      <c r="F12" s="15" t="str">
        <f aca="false">IF('Project Register'!$A12="","",TRIM(IF(OR('Project Register'!E12="",'Project Register'!F12=""),"Missing date. ","")&amp;IF(AND('Project Register'!E12&lt;&gt;"",'Project Register'!F12&lt;&gt;"",'Project Register'!F12&lt;'Project Register'!E12),"End before start. ","")&amp;IF(NOT(ISNUMBER('Project Register'!G12)),"Effort missing. ","")&amp;IF(D12=0,"No resource. ","")&amp;IF(AND('Project Register'!H12&lt;&gt;"",'Project Register'!I12=""),"Role 1 missing. ","")&amp;IF(AND('Project Register'!J12&lt;&gt;"",'Project Register'!K12=""),"Role 2 missing. ","")&amp;IF(AND('Project Register'!L12&lt;&gt;"",'Project Register'!M12=""),"Role 3 missing. ","")&amp;IF(OR(AND('Project Register'!H12&lt;&gt;"",'Project Register'!H12='Project Register'!J12),AND('Project Register'!H12&lt;&gt;"",'Project Register'!H12='Project Register'!L12),AND('Project Register'!J12&lt;&gt;"",'Project Register'!J12='Project Register'!L12)),"Same person listed twice. ","")&amp;IF(AND('Project Register'!H12&lt;&gt;"",COUNTIF(Resources!$A$2:$A$51,'Project Register'!H12)=0),"Resource 1 not in Resources sheet. ","")&amp;IF(AND('Project Register'!J12&lt;&gt;"",COUNTIF(Resources!$A$2:$A$51,'Project Register'!J12)=0),"Resource 2 not in Resources sheet. ","")&amp;IF(AND('Project Register'!L12&lt;&gt;"",COUNTIF(Resources!$A$2:$A$51,'Project Register'!L12)=0),"Resource 3 not in Resources sheet. ","")&amp;IF('Project Register'!O12="","Test Status missing. ","")&amp;IF(AND(ISNUMBER(E12),E12&gt;1),"This task alone needs over 100% per person. ","")&amp;IF(AND('Project Register'!Q12="Deployed in Live",'Project Register'!R12=""),"Release Date blank (import date will be used). ","")))</f>
        <v/>
      </c>
      <c r="G12" s="17" t="str">
        <f aca="false">IF('Project Register'!$A12="","",IF(F12="","OK","Check"))</f>
        <v/>
      </c>
    </row>
    <row r="13" customFormat="false" ht="15" hidden="false" customHeight="false" outlineLevel="0" collapsed="false">
      <c r="A13" s="15" t="str">
        <f aca="false">IF('Project Register'!$A13="","",ROW('Project Register'!A13))</f>
        <v/>
      </c>
      <c r="B13" s="15" t="str">
        <f aca="false">IF('Project Register'!$A13="","",'Project Register'!B13)</f>
        <v/>
      </c>
      <c r="C13" s="15" t="str">
        <f aca="false">IF('Project Register'!$A13="","",IF(OR('Project Register'!E13="",'Project Register'!F13=""),"",IF('Project Register'!F13&lt;'Project Register'!E13,0,NETWORKDAYS.INTL('Project Register'!E13,'Project Register'!F13,"0000110",Holidays_Leave!$A$3:$A$62))))</f>
        <v/>
      </c>
      <c r="D13" s="15" t="str">
        <f aca="false">IF('Project Register'!$A13="","",('Project Register'!H13&lt;&gt;"")+('Project Register'!J13&lt;&gt;"")+('Project Register'!L13&lt;&gt;""))</f>
        <v/>
      </c>
      <c r="E13" s="16" t="str">
        <f aca="false">IF(OR(C13="",D13="",'Project Register'!G13=""),"",IF(OR(C13=0,D13=0),"",'Project Register'!G13/(C13*D13)))</f>
        <v/>
      </c>
      <c r="F13" s="15" t="str">
        <f aca="false">IF('Project Register'!$A13="","",TRIM(IF(OR('Project Register'!E13="",'Project Register'!F13=""),"Missing date. ","")&amp;IF(AND('Project Register'!E13&lt;&gt;"",'Project Register'!F13&lt;&gt;"",'Project Register'!F13&lt;'Project Register'!E13),"End before start. ","")&amp;IF(NOT(ISNUMBER('Project Register'!G13)),"Effort missing. ","")&amp;IF(D13=0,"No resource. ","")&amp;IF(AND('Project Register'!H13&lt;&gt;"",'Project Register'!I13=""),"Role 1 missing. ","")&amp;IF(AND('Project Register'!J13&lt;&gt;"",'Project Register'!K13=""),"Role 2 missing. ","")&amp;IF(AND('Project Register'!L13&lt;&gt;"",'Project Register'!M13=""),"Role 3 missing. ","")&amp;IF(OR(AND('Project Register'!H13&lt;&gt;"",'Project Register'!H13='Project Register'!J13),AND('Project Register'!H13&lt;&gt;"",'Project Register'!H13='Project Register'!L13),AND('Project Register'!J13&lt;&gt;"",'Project Register'!J13='Project Register'!L13)),"Same person listed twice. ","")&amp;IF(AND('Project Register'!H13&lt;&gt;"",COUNTIF(Resources!$A$2:$A$51,'Project Register'!H13)=0),"Resource 1 not in Resources sheet. ","")&amp;IF(AND('Project Register'!J13&lt;&gt;"",COUNTIF(Resources!$A$2:$A$51,'Project Register'!J13)=0),"Resource 2 not in Resources sheet. ","")&amp;IF(AND('Project Register'!L13&lt;&gt;"",COUNTIF(Resources!$A$2:$A$51,'Project Register'!L13)=0),"Resource 3 not in Resources sheet. ","")&amp;IF('Project Register'!O13="","Test Status missing. ","")&amp;IF(AND(ISNUMBER(E13),E13&gt;1),"This task alone needs over 100% per person. ","")&amp;IF(AND('Project Register'!Q13="Deployed in Live",'Project Register'!R13=""),"Release Date blank (import date will be used). ","")))</f>
        <v/>
      </c>
      <c r="G13" s="17" t="str">
        <f aca="false">IF('Project Register'!$A13="","",IF(F13="","OK","Check"))</f>
        <v/>
      </c>
    </row>
    <row r="14" customFormat="false" ht="15" hidden="false" customHeight="false" outlineLevel="0" collapsed="false">
      <c r="A14" s="15" t="str">
        <f aca="false">IF('Project Register'!$A14="","",ROW('Project Register'!A14))</f>
        <v/>
      </c>
      <c r="B14" s="15" t="str">
        <f aca="false">IF('Project Register'!$A14="","",'Project Register'!B14)</f>
        <v/>
      </c>
      <c r="C14" s="15" t="str">
        <f aca="false">IF('Project Register'!$A14="","",IF(OR('Project Register'!E14="",'Project Register'!F14=""),"",IF('Project Register'!F14&lt;'Project Register'!E14,0,NETWORKDAYS.INTL('Project Register'!E14,'Project Register'!F14,"0000110",Holidays_Leave!$A$3:$A$62))))</f>
        <v/>
      </c>
      <c r="D14" s="15" t="str">
        <f aca="false">IF('Project Register'!$A14="","",('Project Register'!H14&lt;&gt;"")+('Project Register'!J14&lt;&gt;"")+('Project Register'!L14&lt;&gt;""))</f>
        <v/>
      </c>
      <c r="E14" s="16" t="str">
        <f aca="false">IF(OR(C14="",D14="",'Project Register'!G14=""),"",IF(OR(C14=0,D14=0),"",'Project Register'!G14/(C14*D14)))</f>
        <v/>
      </c>
      <c r="F14" s="15" t="str">
        <f aca="false">IF('Project Register'!$A14="","",TRIM(IF(OR('Project Register'!E14="",'Project Register'!F14=""),"Missing date. ","")&amp;IF(AND('Project Register'!E14&lt;&gt;"",'Project Register'!F14&lt;&gt;"",'Project Register'!F14&lt;'Project Register'!E14),"End before start. ","")&amp;IF(NOT(ISNUMBER('Project Register'!G14)),"Effort missing. ","")&amp;IF(D14=0,"No resource. ","")&amp;IF(AND('Project Register'!H14&lt;&gt;"",'Project Register'!I14=""),"Role 1 missing. ","")&amp;IF(AND('Project Register'!J14&lt;&gt;"",'Project Register'!K14=""),"Role 2 missing. ","")&amp;IF(AND('Project Register'!L14&lt;&gt;"",'Project Register'!M14=""),"Role 3 missing. ","")&amp;IF(OR(AND('Project Register'!H14&lt;&gt;"",'Project Register'!H14='Project Register'!J14),AND('Project Register'!H14&lt;&gt;"",'Project Register'!H14='Project Register'!L14),AND('Project Register'!J14&lt;&gt;"",'Project Register'!J14='Project Register'!L14)),"Same person listed twice. ","")&amp;IF(AND('Project Register'!H14&lt;&gt;"",COUNTIF(Resources!$A$2:$A$51,'Project Register'!H14)=0),"Resource 1 not in Resources sheet. ","")&amp;IF(AND('Project Register'!J14&lt;&gt;"",COUNTIF(Resources!$A$2:$A$51,'Project Register'!J14)=0),"Resource 2 not in Resources sheet. ","")&amp;IF(AND('Project Register'!L14&lt;&gt;"",COUNTIF(Resources!$A$2:$A$51,'Project Register'!L14)=0),"Resource 3 not in Resources sheet. ","")&amp;IF('Project Register'!O14="","Test Status missing. ","")&amp;IF(AND(ISNUMBER(E14),E14&gt;1),"This task alone needs over 100% per person. ","")&amp;IF(AND('Project Register'!Q14="Deployed in Live",'Project Register'!R14=""),"Release Date blank (import date will be used). ","")))</f>
        <v/>
      </c>
      <c r="G14" s="17" t="str">
        <f aca="false">IF('Project Register'!$A14="","",IF(F14="","OK","Check"))</f>
        <v/>
      </c>
    </row>
    <row r="15" customFormat="false" ht="15" hidden="false" customHeight="false" outlineLevel="0" collapsed="false">
      <c r="A15" s="15" t="str">
        <f aca="false">IF('Project Register'!$A15="","",ROW('Project Register'!A15))</f>
        <v/>
      </c>
      <c r="B15" s="15" t="str">
        <f aca="false">IF('Project Register'!$A15="","",'Project Register'!B15)</f>
        <v/>
      </c>
      <c r="C15" s="15" t="str">
        <f aca="false">IF('Project Register'!$A15="","",IF(OR('Project Register'!E15="",'Project Register'!F15=""),"",IF('Project Register'!F15&lt;'Project Register'!E15,0,NETWORKDAYS.INTL('Project Register'!E15,'Project Register'!F15,"0000110",Holidays_Leave!$A$3:$A$62))))</f>
        <v/>
      </c>
      <c r="D15" s="15" t="str">
        <f aca="false">IF('Project Register'!$A15="","",('Project Register'!H15&lt;&gt;"")+('Project Register'!J15&lt;&gt;"")+('Project Register'!L15&lt;&gt;""))</f>
        <v/>
      </c>
      <c r="E15" s="16" t="str">
        <f aca="false">IF(OR(C15="",D15="",'Project Register'!G15=""),"",IF(OR(C15=0,D15=0),"",'Project Register'!G15/(C15*D15)))</f>
        <v/>
      </c>
      <c r="F15" s="15" t="str">
        <f aca="false">IF('Project Register'!$A15="","",TRIM(IF(OR('Project Register'!E15="",'Project Register'!F15=""),"Missing date. ","")&amp;IF(AND('Project Register'!E15&lt;&gt;"",'Project Register'!F15&lt;&gt;"",'Project Register'!F15&lt;'Project Register'!E15),"End before start. ","")&amp;IF(NOT(ISNUMBER('Project Register'!G15)),"Effort missing. ","")&amp;IF(D15=0,"No resource. ","")&amp;IF(AND('Project Register'!H15&lt;&gt;"",'Project Register'!I15=""),"Role 1 missing. ","")&amp;IF(AND('Project Register'!J15&lt;&gt;"",'Project Register'!K15=""),"Role 2 missing. ","")&amp;IF(AND('Project Register'!L15&lt;&gt;"",'Project Register'!M15=""),"Role 3 missing. ","")&amp;IF(OR(AND('Project Register'!H15&lt;&gt;"",'Project Register'!H15='Project Register'!J15),AND('Project Register'!H15&lt;&gt;"",'Project Register'!H15='Project Register'!L15),AND('Project Register'!J15&lt;&gt;"",'Project Register'!J15='Project Register'!L15)),"Same person listed twice. ","")&amp;IF(AND('Project Register'!H15&lt;&gt;"",COUNTIF(Resources!$A$2:$A$51,'Project Register'!H15)=0),"Resource 1 not in Resources sheet. ","")&amp;IF(AND('Project Register'!J15&lt;&gt;"",COUNTIF(Resources!$A$2:$A$51,'Project Register'!J15)=0),"Resource 2 not in Resources sheet. ","")&amp;IF(AND('Project Register'!L15&lt;&gt;"",COUNTIF(Resources!$A$2:$A$51,'Project Register'!L15)=0),"Resource 3 not in Resources sheet. ","")&amp;IF('Project Register'!O15="","Test Status missing. ","")&amp;IF(AND(ISNUMBER(E15),E15&gt;1),"This task alone needs over 100% per person. ","")&amp;IF(AND('Project Register'!Q15="Deployed in Live",'Project Register'!R15=""),"Release Date blank (import date will be used). ","")))</f>
        <v/>
      </c>
      <c r="G15" s="17" t="str">
        <f aca="false">IF('Project Register'!$A15="","",IF(F15="","OK","Check"))</f>
        <v/>
      </c>
    </row>
    <row r="16" customFormat="false" ht="15" hidden="false" customHeight="false" outlineLevel="0" collapsed="false">
      <c r="A16" s="15" t="str">
        <f aca="false">IF('Project Register'!$A16="","",ROW('Project Register'!A16))</f>
        <v/>
      </c>
      <c r="B16" s="15" t="str">
        <f aca="false">IF('Project Register'!$A16="","",'Project Register'!B16)</f>
        <v/>
      </c>
      <c r="C16" s="15" t="str">
        <f aca="false">IF('Project Register'!$A16="","",IF(OR('Project Register'!E16="",'Project Register'!F16=""),"",IF('Project Register'!F16&lt;'Project Register'!E16,0,NETWORKDAYS.INTL('Project Register'!E16,'Project Register'!F16,"0000110",Holidays_Leave!$A$3:$A$62))))</f>
        <v/>
      </c>
      <c r="D16" s="15" t="str">
        <f aca="false">IF('Project Register'!$A16="","",('Project Register'!H16&lt;&gt;"")+('Project Register'!J16&lt;&gt;"")+('Project Register'!L16&lt;&gt;""))</f>
        <v/>
      </c>
      <c r="E16" s="16" t="str">
        <f aca="false">IF(OR(C16="",D16="",'Project Register'!G16=""),"",IF(OR(C16=0,D16=0),"",'Project Register'!G16/(C16*D16)))</f>
        <v/>
      </c>
      <c r="F16" s="15" t="str">
        <f aca="false">IF('Project Register'!$A16="","",TRIM(IF(OR('Project Register'!E16="",'Project Register'!F16=""),"Missing date. ","")&amp;IF(AND('Project Register'!E16&lt;&gt;"",'Project Register'!F16&lt;&gt;"",'Project Register'!F16&lt;'Project Register'!E16),"End before start. ","")&amp;IF(NOT(ISNUMBER('Project Register'!G16)),"Effort missing. ","")&amp;IF(D16=0,"No resource. ","")&amp;IF(AND('Project Register'!H16&lt;&gt;"",'Project Register'!I16=""),"Role 1 missing. ","")&amp;IF(AND('Project Register'!J16&lt;&gt;"",'Project Register'!K16=""),"Role 2 missing. ","")&amp;IF(AND('Project Register'!L16&lt;&gt;"",'Project Register'!M16=""),"Role 3 missing. ","")&amp;IF(OR(AND('Project Register'!H16&lt;&gt;"",'Project Register'!H16='Project Register'!J16),AND('Project Register'!H16&lt;&gt;"",'Project Register'!H16='Project Register'!L16),AND('Project Register'!J16&lt;&gt;"",'Project Register'!J16='Project Register'!L16)),"Same person listed twice. ","")&amp;IF(AND('Project Register'!H16&lt;&gt;"",COUNTIF(Resources!$A$2:$A$51,'Project Register'!H16)=0),"Resource 1 not in Resources sheet. ","")&amp;IF(AND('Project Register'!J16&lt;&gt;"",COUNTIF(Resources!$A$2:$A$51,'Project Register'!J16)=0),"Resource 2 not in Resources sheet. ","")&amp;IF(AND('Project Register'!L16&lt;&gt;"",COUNTIF(Resources!$A$2:$A$51,'Project Register'!L16)=0),"Resource 3 not in Resources sheet. ","")&amp;IF('Project Register'!O16="","Test Status missing. ","")&amp;IF(AND(ISNUMBER(E16),E16&gt;1),"This task alone needs over 100% per person. ","")&amp;IF(AND('Project Register'!Q16="Deployed in Live",'Project Register'!R16=""),"Release Date blank (import date will be used). ","")))</f>
        <v/>
      </c>
      <c r="G16" s="17" t="str">
        <f aca="false">IF('Project Register'!$A16="","",IF(F16="","OK","Check"))</f>
        <v/>
      </c>
    </row>
    <row r="17" customFormat="false" ht="15" hidden="false" customHeight="false" outlineLevel="0" collapsed="false">
      <c r="A17" s="15" t="str">
        <f aca="false">IF('Project Register'!$A17="","",ROW('Project Register'!A17))</f>
        <v/>
      </c>
      <c r="B17" s="15" t="str">
        <f aca="false">IF('Project Register'!$A17="","",'Project Register'!B17)</f>
        <v/>
      </c>
      <c r="C17" s="15" t="str">
        <f aca="false">IF('Project Register'!$A17="","",IF(OR('Project Register'!E17="",'Project Register'!F17=""),"",IF('Project Register'!F17&lt;'Project Register'!E17,0,NETWORKDAYS.INTL('Project Register'!E17,'Project Register'!F17,"0000110",Holidays_Leave!$A$3:$A$62))))</f>
        <v/>
      </c>
      <c r="D17" s="15" t="str">
        <f aca="false">IF('Project Register'!$A17="","",('Project Register'!H17&lt;&gt;"")+('Project Register'!J17&lt;&gt;"")+('Project Register'!L17&lt;&gt;""))</f>
        <v/>
      </c>
      <c r="E17" s="16" t="str">
        <f aca="false">IF(OR(C17="",D17="",'Project Register'!G17=""),"",IF(OR(C17=0,D17=0),"",'Project Register'!G17/(C17*D17)))</f>
        <v/>
      </c>
      <c r="F17" s="15" t="str">
        <f aca="false">IF('Project Register'!$A17="","",TRIM(IF(OR('Project Register'!E17="",'Project Register'!F17=""),"Missing date. ","")&amp;IF(AND('Project Register'!E17&lt;&gt;"",'Project Register'!F17&lt;&gt;"",'Project Register'!F17&lt;'Project Register'!E17),"End before start. ","")&amp;IF(NOT(ISNUMBER('Project Register'!G17)),"Effort missing. ","")&amp;IF(D17=0,"No resource. ","")&amp;IF(AND('Project Register'!H17&lt;&gt;"",'Project Register'!I17=""),"Role 1 missing. ","")&amp;IF(AND('Project Register'!J17&lt;&gt;"",'Project Register'!K17=""),"Role 2 missing. ","")&amp;IF(AND('Project Register'!L17&lt;&gt;"",'Project Register'!M17=""),"Role 3 missing. ","")&amp;IF(OR(AND('Project Register'!H17&lt;&gt;"",'Project Register'!H17='Project Register'!J17),AND('Project Register'!H17&lt;&gt;"",'Project Register'!H17='Project Register'!L17),AND('Project Register'!J17&lt;&gt;"",'Project Register'!J17='Project Register'!L17)),"Same person listed twice. ","")&amp;IF(AND('Project Register'!H17&lt;&gt;"",COUNTIF(Resources!$A$2:$A$51,'Project Register'!H17)=0),"Resource 1 not in Resources sheet. ","")&amp;IF(AND('Project Register'!J17&lt;&gt;"",COUNTIF(Resources!$A$2:$A$51,'Project Register'!J17)=0),"Resource 2 not in Resources sheet. ","")&amp;IF(AND('Project Register'!L17&lt;&gt;"",COUNTIF(Resources!$A$2:$A$51,'Project Register'!L17)=0),"Resource 3 not in Resources sheet. ","")&amp;IF('Project Register'!O17="","Test Status missing. ","")&amp;IF(AND(ISNUMBER(E17),E17&gt;1),"This task alone needs over 100% per person. ","")&amp;IF(AND('Project Register'!Q17="Deployed in Live",'Project Register'!R17=""),"Release Date blank (import date will be used). ","")))</f>
        <v/>
      </c>
      <c r="G17" s="17" t="str">
        <f aca="false">IF('Project Register'!$A17="","",IF(F17="","OK","Check"))</f>
        <v/>
      </c>
    </row>
    <row r="18" customFormat="false" ht="15" hidden="false" customHeight="false" outlineLevel="0" collapsed="false">
      <c r="A18" s="15" t="str">
        <f aca="false">IF('Project Register'!$A18="","",ROW('Project Register'!A18))</f>
        <v/>
      </c>
      <c r="B18" s="15" t="str">
        <f aca="false">IF('Project Register'!$A18="","",'Project Register'!B18)</f>
        <v/>
      </c>
      <c r="C18" s="15" t="str">
        <f aca="false">IF('Project Register'!$A18="","",IF(OR('Project Register'!E18="",'Project Register'!F18=""),"",IF('Project Register'!F18&lt;'Project Register'!E18,0,NETWORKDAYS.INTL('Project Register'!E18,'Project Register'!F18,"0000110",Holidays_Leave!$A$3:$A$62))))</f>
        <v/>
      </c>
      <c r="D18" s="15" t="str">
        <f aca="false">IF('Project Register'!$A18="","",('Project Register'!H18&lt;&gt;"")+('Project Register'!J18&lt;&gt;"")+('Project Register'!L18&lt;&gt;""))</f>
        <v/>
      </c>
      <c r="E18" s="16" t="str">
        <f aca="false">IF(OR(C18="",D18="",'Project Register'!G18=""),"",IF(OR(C18=0,D18=0),"",'Project Register'!G18/(C18*D18)))</f>
        <v/>
      </c>
      <c r="F18" s="15" t="str">
        <f aca="false">IF('Project Register'!$A18="","",TRIM(IF(OR('Project Register'!E18="",'Project Register'!F18=""),"Missing date. ","")&amp;IF(AND('Project Register'!E18&lt;&gt;"",'Project Register'!F18&lt;&gt;"",'Project Register'!F18&lt;'Project Register'!E18),"End before start. ","")&amp;IF(NOT(ISNUMBER('Project Register'!G18)),"Effort missing. ","")&amp;IF(D18=0,"No resource. ","")&amp;IF(AND('Project Register'!H18&lt;&gt;"",'Project Register'!I18=""),"Role 1 missing. ","")&amp;IF(AND('Project Register'!J18&lt;&gt;"",'Project Register'!K18=""),"Role 2 missing. ","")&amp;IF(AND('Project Register'!L18&lt;&gt;"",'Project Register'!M18=""),"Role 3 missing. ","")&amp;IF(OR(AND('Project Register'!H18&lt;&gt;"",'Project Register'!H18='Project Register'!J18),AND('Project Register'!H18&lt;&gt;"",'Project Register'!H18='Project Register'!L18),AND('Project Register'!J18&lt;&gt;"",'Project Register'!J18='Project Register'!L18)),"Same person listed twice. ","")&amp;IF(AND('Project Register'!H18&lt;&gt;"",COUNTIF(Resources!$A$2:$A$51,'Project Register'!H18)=0),"Resource 1 not in Resources sheet. ","")&amp;IF(AND('Project Register'!J18&lt;&gt;"",COUNTIF(Resources!$A$2:$A$51,'Project Register'!J18)=0),"Resource 2 not in Resources sheet. ","")&amp;IF(AND('Project Register'!L18&lt;&gt;"",COUNTIF(Resources!$A$2:$A$51,'Project Register'!L18)=0),"Resource 3 not in Resources sheet. ","")&amp;IF('Project Register'!O18="","Test Status missing. ","")&amp;IF(AND(ISNUMBER(E18),E18&gt;1),"This task alone needs over 100% per person. ","")&amp;IF(AND('Project Register'!Q18="Deployed in Live",'Project Register'!R18=""),"Release Date blank (import date will be used). ","")))</f>
        <v/>
      </c>
      <c r="G18" s="17" t="str">
        <f aca="false">IF('Project Register'!$A18="","",IF(F18="","OK","Check"))</f>
        <v/>
      </c>
    </row>
    <row r="19" customFormat="false" ht="15" hidden="false" customHeight="false" outlineLevel="0" collapsed="false">
      <c r="A19" s="15" t="str">
        <f aca="false">IF('Project Register'!$A19="","",ROW('Project Register'!A19))</f>
        <v/>
      </c>
      <c r="B19" s="15" t="str">
        <f aca="false">IF('Project Register'!$A19="","",'Project Register'!B19)</f>
        <v/>
      </c>
      <c r="C19" s="15" t="str">
        <f aca="false">IF('Project Register'!$A19="","",IF(OR('Project Register'!E19="",'Project Register'!F19=""),"",IF('Project Register'!F19&lt;'Project Register'!E19,0,NETWORKDAYS.INTL('Project Register'!E19,'Project Register'!F19,"0000110",Holidays_Leave!$A$3:$A$62))))</f>
        <v/>
      </c>
      <c r="D19" s="15" t="str">
        <f aca="false">IF('Project Register'!$A19="","",('Project Register'!H19&lt;&gt;"")+('Project Register'!J19&lt;&gt;"")+('Project Register'!L19&lt;&gt;""))</f>
        <v/>
      </c>
      <c r="E19" s="16" t="str">
        <f aca="false">IF(OR(C19="",D19="",'Project Register'!G19=""),"",IF(OR(C19=0,D19=0),"",'Project Register'!G19/(C19*D19)))</f>
        <v/>
      </c>
      <c r="F19" s="15" t="str">
        <f aca="false">IF('Project Register'!$A19="","",TRIM(IF(OR('Project Register'!E19="",'Project Register'!F19=""),"Missing date. ","")&amp;IF(AND('Project Register'!E19&lt;&gt;"",'Project Register'!F19&lt;&gt;"",'Project Register'!F19&lt;'Project Register'!E19),"End before start. ","")&amp;IF(NOT(ISNUMBER('Project Register'!G19)),"Effort missing. ","")&amp;IF(D19=0,"No resource. ","")&amp;IF(AND('Project Register'!H19&lt;&gt;"",'Project Register'!I19=""),"Role 1 missing. ","")&amp;IF(AND('Project Register'!J19&lt;&gt;"",'Project Register'!K19=""),"Role 2 missing. ","")&amp;IF(AND('Project Register'!L19&lt;&gt;"",'Project Register'!M19=""),"Role 3 missing. ","")&amp;IF(OR(AND('Project Register'!H19&lt;&gt;"",'Project Register'!H19='Project Register'!J19),AND('Project Register'!H19&lt;&gt;"",'Project Register'!H19='Project Register'!L19),AND('Project Register'!J19&lt;&gt;"",'Project Register'!J19='Project Register'!L19)),"Same person listed twice. ","")&amp;IF(AND('Project Register'!H19&lt;&gt;"",COUNTIF(Resources!$A$2:$A$51,'Project Register'!H19)=0),"Resource 1 not in Resources sheet. ","")&amp;IF(AND('Project Register'!J19&lt;&gt;"",COUNTIF(Resources!$A$2:$A$51,'Project Register'!J19)=0),"Resource 2 not in Resources sheet. ","")&amp;IF(AND('Project Register'!L19&lt;&gt;"",COUNTIF(Resources!$A$2:$A$51,'Project Register'!L19)=0),"Resource 3 not in Resources sheet. ","")&amp;IF('Project Register'!O19="","Test Status missing. ","")&amp;IF(AND(ISNUMBER(E19),E19&gt;1),"This task alone needs over 100% per person. ","")&amp;IF(AND('Project Register'!Q19="Deployed in Live",'Project Register'!R19=""),"Release Date blank (import date will be used). ","")))</f>
        <v/>
      </c>
      <c r="G19" s="17" t="str">
        <f aca="false">IF('Project Register'!$A19="","",IF(F19="","OK","Check"))</f>
        <v/>
      </c>
    </row>
    <row r="20" customFormat="false" ht="15" hidden="false" customHeight="false" outlineLevel="0" collapsed="false">
      <c r="A20" s="15" t="str">
        <f aca="false">IF('Project Register'!$A20="","",ROW('Project Register'!A20))</f>
        <v/>
      </c>
      <c r="B20" s="15" t="str">
        <f aca="false">IF('Project Register'!$A20="","",'Project Register'!B20)</f>
        <v/>
      </c>
      <c r="C20" s="15" t="str">
        <f aca="false">IF('Project Register'!$A20="","",IF(OR('Project Register'!E20="",'Project Register'!F20=""),"",IF('Project Register'!F20&lt;'Project Register'!E20,0,NETWORKDAYS.INTL('Project Register'!E20,'Project Register'!F20,"0000110",Holidays_Leave!$A$3:$A$62))))</f>
        <v/>
      </c>
      <c r="D20" s="15" t="str">
        <f aca="false">IF('Project Register'!$A20="","",('Project Register'!H20&lt;&gt;"")+('Project Register'!J20&lt;&gt;"")+('Project Register'!L20&lt;&gt;""))</f>
        <v/>
      </c>
      <c r="E20" s="16" t="str">
        <f aca="false">IF(OR(C20="",D20="",'Project Register'!G20=""),"",IF(OR(C20=0,D20=0),"",'Project Register'!G20/(C20*D20)))</f>
        <v/>
      </c>
      <c r="F20" s="15" t="str">
        <f aca="false">IF('Project Register'!$A20="","",TRIM(IF(OR('Project Register'!E20="",'Project Register'!F20=""),"Missing date. ","")&amp;IF(AND('Project Register'!E20&lt;&gt;"",'Project Register'!F20&lt;&gt;"",'Project Register'!F20&lt;'Project Register'!E20),"End before start. ","")&amp;IF(NOT(ISNUMBER('Project Register'!G20)),"Effort missing. ","")&amp;IF(D20=0,"No resource. ","")&amp;IF(AND('Project Register'!H20&lt;&gt;"",'Project Register'!I20=""),"Role 1 missing. ","")&amp;IF(AND('Project Register'!J20&lt;&gt;"",'Project Register'!K20=""),"Role 2 missing. ","")&amp;IF(AND('Project Register'!L20&lt;&gt;"",'Project Register'!M20=""),"Role 3 missing. ","")&amp;IF(OR(AND('Project Register'!H20&lt;&gt;"",'Project Register'!H20='Project Register'!J20),AND('Project Register'!H20&lt;&gt;"",'Project Register'!H20='Project Register'!L20),AND('Project Register'!J20&lt;&gt;"",'Project Register'!J20='Project Register'!L20)),"Same person listed twice. ","")&amp;IF(AND('Project Register'!H20&lt;&gt;"",COUNTIF(Resources!$A$2:$A$51,'Project Register'!H20)=0),"Resource 1 not in Resources sheet. ","")&amp;IF(AND('Project Register'!J20&lt;&gt;"",COUNTIF(Resources!$A$2:$A$51,'Project Register'!J20)=0),"Resource 2 not in Resources sheet. ","")&amp;IF(AND('Project Register'!L20&lt;&gt;"",COUNTIF(Resources!$A$2:$A$51,'Project Register'!L20)=0),"Resource 3 not in Resources sheet. ","")&amp;IF('Project Register'!O20="","Test Status missing. ","")&amp;IF(AND(ISNUMBER(E20),E20&gt;1),"This task alone needs over 100% per person. ","")&amp;IF(AND('Project Register'!Q20="Deployed in Live",'Project Register'!R20=""),"Release Date blank (import date will be used). ","")))</f>
        <v/>
      </c>
      <c r="G20" s="17" t="str">
        <f aca="false">IF('Project Register'!$A20="","",IF(F20="","OK","Check"))</f>
        <v/>
      </c>
    </row>
    <row r="21" customFormat="false" ht="15" hidden="false" customHeight="false" outlineLevel="0" collapsed="false">
      <c r="A21" s="15" t="str">
        <f aca="false">IF('Project Register'!$A21="","",ROW('Project Register'!A21))</f>
        <v/>
      </c>
      <c r="B21" s="15" t="str">
        <f aca="false">IF('Project Register'!$A21="","",'Project Register'!B21)</f>
        <v/>
      </c>
      <c r="C21" s="15" t="str">
        <f aca="false">IF('Project Register'!$A21="","",IF(OR('Project Register'!E21="",'Project Register'!F21=""),"",IF('Project Register'!F21&lt;'Project Register'!E21,0,NETWORKDAYS.INTL('Project Register'!E21,'Project Register'!F21,"0000110",Holidays_Leave!$A$3:$A$62))))</f>
        <v/>
      </c>
      <c r="D21" s="15" t="str">
        <f aca="false">IF('Project Register'!$A21="","",('Project Register'!H21&lt;&gt;"")+('Project Register'!J21&lt;&gt;"")+('Project Register'!L21&lt;&gt;""))</f>
        <v/>
      </c>
      <c r="E21" s="16" t="str">
        <f aca="false">IF(OR(C21="",D21="",'Project Register'!G21=""),"",IF(OR(C21=0,D21=0),"",'Project Register'!G21/(C21*D21)))</f>
        <v/>
      </c>
      <c r="F21" s="15" t="str">
        <f aca="false">IF('Project Register'!$A21="","",TRIM(IF(OR('Project Register'!E21="",'Project Register'!F21=""),"Missing date. ","")&amp;IF(AND('Project Register'!E21&lt;&gt;"",'Project Register'!F21&lt;&gt;"",'Project Register'!F21&lt;'Project Register'!E21),"End before start. ","")&amp;IF(NOT(ISNUMBER('Project Register'!G21)),"Effort missing. ","")&amp;IF(D21=0,"No resource. ","")&amp;IF(AND('Project Register'!H21&lt;&gt;"",'Project Register'!I21=""),"Role 1 missing. ","")&amp;IF(AND('Project Register'!J21&lt;&gt;"",'Project Register'!K21=""),"Role 2 missing. ","")&amp;IF(AND('Project Register'!L21&lt;&gt;"",'Project Register'!M21=""),"Role 3 missing. ","")&amp;IF(OR(AND('Project Register'!H21&lt;&gt;"",'Project Register'!H21='Project Register'!J21),AND('Project Register'!H21&lt;&gt;"",'Project Register'!H21='Project Register'!L21),AND('Project Register'!J21&lt;&gt;"",'Project Register'!J21='Project Register'!L21)),"Same person listed twice. ","")&amp;IF(AND('Project Register'!H21&lt;&gt;"",COUNTIF(Resources!$A$2:$A$51,'Project Register'!H21)=0),"Resource 1 not in Resources sheet. ","")&amp;IF(AND('Project Register'!J21&lt;&gt;"",COUNTIF(Resources!$A$2:$A$51,'Project Register'!J21)=0),"Resource 2 not in Resources sheet. ","")&amp;IF(AND('Project Register'!L21&lt;&gt;"",COUNTIF(Resources!$A$2:$A$51,'Project Register'!L21)=0),"Resource 3 not in Resources sheet. ","")&amp;IF('Project Register'!O21="","Test Status missing. ","")&amp;IF(AND(ISNUMBER(E21),E21&gt;1),"This task alone needs over 100% per person. ","")&amp;IF(AND('Project Register'!Q21="Deployed in Live",'Project Register'!R21=""),"Release Date blank (import date will be used). ","")))</f>
        <v/>
      </c>
      <c r="G21" s="17" t="str">
        <f aca="false">IF('Project Register'!$A21="","",IF(F21="","OK","Check"))</f>
        <v/>
      </c>
    </row>
    <row r="22" customFormat="false" ht="15" hidden="false" customHeight="false" outlineLevel="0" collapsed="false">
      <c r="A22" s="15" t="str">
        <f aca="false">IF('Project Register'!$A22="","",ROW('Project Register'!A22))</f>
        <v/>
      </c>
      <c r="B22" s="15" t="str">
        <f aca="false">IF('Project Register'!$A22="","",'Project Register'!B22)</f>
        <v/>
      </c>
      <c r="C22" s="15" t="str">
        <f aca="false">IF('Project Register'!$A22="","",IF(OR('Project Register'!E22="",'Project Register'!F22=""),"",IF('Project Register'!F22&lt;'Project Register'!E22,0,NETWORKDAYS.INTL('Project Register'!E22,'Project Register'!F22,"0000110",Holidays_Leave!$A$3:$A$62))))</f>
        <v/>
      </c>
      <c r="D22" s="15" t="str">
        <f aca="false">IF('Project Register'!$A22="","",('Project Register'!H22&lt;&gt;"")+('Project Register'!J22&lt;&gt;"")+('Project Register'!L22&lt;&gt;""))</f>
        <v/>
      </c>
      <c r="E22" s="16" t="str">
        <f aca="false">IF(OR(C22="",D22="",'Project Register'!G22=""),"",IF(OR(C22=0,D22=0),"",'Project Register'!G22/(C22*D22)))</f>
        <v/>
      </c>
      <c r="F22" s="15" t="str">
        <f aca="false">IF('Project Register'!$A22="","",TRIM(IF(OR('Project Register'!E22="",'Project Register'!F22=""),"Missing date. ","")&amp;IF(AND('Project Register'!E22&lt;&gt;"",'Project Register'!F22&lt;&gt;"",'Project Register'!F22&lt;'Project Register'!E22),"End before start. ","")&amp;IF(NOT(ISNUMBER('Project Register'!G22)),"Effort missing. ","")&amp;IF(D22=0,"No resource. ","")&amp;IF(AND('Project Register'!H22&lt;&gt;"",'Project Register'!I22=""),"Role 1 missing. ","")&amp;IF(AND('Project Register'!J22&lt;&gt;"",'Project Register'!K22=""),"Role 2 missing. ","")&amp;IF(AND('Project Register'!L22&lt;&gt;"",'Project Register'!M22=""),"Role 3 missing. ","")&amp;IF(OR(AND('Project Register'!H22&lt;&gt;"",'Project Register'!H22='Project Register'!J22),AND('Project Register'!H22&lt;&gt;"",'Project Register'!H22='Project Register'!L22),AND('Project Register'!J22&lt;&gt;"",'Project Register'!J22='Project Register'!L22)),"Same person listed twice. ","")&amp;IF(AND('Project Register'!H22&lt;&gt;"",COUNTIF(Resources!$A$2:$A$51,'Project Register'!H22)=0),"Resource 1 not in Resources sheet. ","")&amp;IF(AND('Project Register'!J22&lt;&gt;"",COUNTIF(Resources!$A$2:$A$51,'Project Register'!J22)=0),"Resource 2 not in Resources sheet. ","")&amp;IF(AND('Project Register'!L22&lt;&gt;"",COUNTIF(Resources!$A$2:$A$51,'Project Register'!L22)=0),"Resource 3 not in Resources sheet. ","")&amp;IF('Project Register'!O22="","Test Status missing. ","")&amp;IF(AND(ISNUMBER(E22),E22&gt;1),"This task alone needs over 100% per person. ","")&amp;IF(AND('Project Register'!Q22="Deployed in Live",'Project Register'!R22=""),"Release Date blank (import date will be used). ","")))</f>
        <v/>
      </c>
      <c r="G22" s="17" t="str">
        <f aca="false">IF('Project Register'!$A22="","",IF(F22="","OK","Check"))</f>
        <v/>
      </c>
    </row>
    <row r="23" customFormat="false" ht="15" hidden="false" customHeight="false" outlineLevel="0" collapsed="false">
      <c r="A23" s="15" t="str">
        <f aca="false">IF('Project Register'!$A23="","",ROW('Project Register'!A23))</f>
        <v/>
      </c>
      <c r="B23" s="15" t="str">
        <f aca="false">IF('Project Register'!$A23="","",'Project Register'!B23)</f>
        <v/>
      </c>
      <c r="C23" s="15" t="str">
        <f aca="false">IF('Project Register'!$A23="","",IF(OR('Project Register'!E23="",'Project Register'!F23=""),"",IF('Project Register'!F23&lt;'Project Register'!E23,0,NETWORKDAYS.INTL('Project Register'!E23,'Project Register'!F23,"0000110",Holidays_Leave!$A$3:$A$62))))</f>
        <v/>
      </c>
      <c r="D23" s="15" t="str">
        <f aca="false">IF('Project Register'!$A23="","",('Project Register'!H23&lt;&gt;"")+('Project Register'!J23&lt;&gt;"")+('Project Register'!L23&lt;&gt;""))</f>
        <v/>
      </c>
      <c r="E23" s="16" t="str">
        <f aca="false">IF(OR(C23="",D23="",'Project Register'!G23=""),"",IF(OR(C23=0,D23=0),"",'Project Register'!G23/(C23*D23)))</f>
        <v/>
      </c>
      <c r="F23" s="15" t="str">
        <f aca="false">IF('Project Register'!$A23="","",TRIM(IF(OR('Project Register'!E23="",'Project Register'!F23=""),"Missing date. ","")&amp;IF(AND('Project Register'!E23&lt;&gt;"",'Project Register'!F23&lt;&gt;"",'Project Register'!F23&lt;'Project Register'!E23),"End before start. ","")&amp;IF(NOT(ISNUMBER('Project Register'!G23)),"Effort missing. ","")&amp;IF(D23=0,"No resource. ","")&amp;IF(AND('Project Register'!H23&lt;&gt;"",'Project Register'!I23=""),"Role 1 missing. ","")&amp;IF(AND('Project Register'!J23&lt;&gt;"",'Project Register'!K23=""),"Role 2 missing. ","")&amp;IF(AND('Project Register'!L23&lt;&gt;"",'Project Register'!M23=""),"Role 3 missing. ","")&amp;IF(OR(AND('Project Register'!H23&lt;&gt;"",'Project Register'!H23='Project Register'!J23),AND('Project Register'!H23&lt;&gt;"",'Project Register'!H23='Project Register'!L23),AND('Project Register'!J23&lt;&gt;"",'Project Register'!J23='Project Register'!L23)),"Same person listed twice. ","")&amp;IF(AND('Project Register'!H23&lt;&gt;"",COUNTIF(Resources!$A$2:$A$51,'Project Register'!H23)=0),"Resource 1 not in Resources sheet. ","")&amp;IF(AND('Project Register'!J23&lt;&gt;"",COUNTIF(Resources!$A$2:$A$51,'Project Register'!J23)=0),"Resource 2 not in Resources sheet. ","")&amp;IF(AND('Project Register'!L23&lt;&gt;"",COUNTIF(Resources!$A$2:$A$51,'Project Register'!L23)=0),"Resource 3 not in Resources sheet. ","")&amp;IF('Project Register'!O23="","Test Status missing. ","")&amp;IF(AND(ISNUMBER(E23),E23&gt;1),"This task alone needs over 100% per person. ","")&amp;IF(AND('Project Register'!Q23="Deployed in Live",'Project Register'!R23=""),"Release Date blank (import date will be used). ","")))</f>
        <v/>
      </c>
      <c r="G23" s="17" t="str">
        <f aca="false">IF('Project Register'!$A23="","",IF(F23="","OK","Check"))</f>
        <v/>
      </c>
    </row>
    <row r="24" customFormat="false" ht="15" hidden="false" customHeight="false" outlineLevel="0" collapsed="false">
      <c r="A24" s="15" t="str">
        <f aca="false">IF('Project Register'!$A24="","",ROW('Project Register'!A24))</f>
        <v/>
      </c>
      <c r="B24" s="15" t="str">
        <f aca="false">IF('Project Register'!$A24="","",'Project Register'!B24)</f>
        <v/>
      </c>
      <c r="C24" s="15" t="str">
        <f aca="false">IF('Project Register'!$A24="","",IF(OR('Project Register'!E24="",'Project Register'!F24=""),"",IF('Project Register'!F24&lt;'Project Register'!E24,0,NETWORKDAYS.INTL('Project Register'!E24,'Project Register'!F24,"0000110",Holidays_Leave!$A$3:$A$62))))</f>
        <v/>
      </c>
      <c r="D24" s="15" t="str">
        <f aca="false">IF('Project Register'!$A24="","",('Project Register'!H24&lt;&gt;"")+('Project Register'!J24&lt;&gt;"")+('Project Register'!L24&lt;&gt;""))</f>
        <v/>
      </c>
      <c r="E24" s="16" t="str">
        <f aca="false">IF(OR(C24="",D24="",'Project Register'!G24=""),"",IF(OR(C24=0,D24=0),"",'Project Register'!G24/(C24*D24)))</f>
        <v/>
      </c>
      <c r="F24" s="15" t="str">
        <f aca="false">IF('Project Register'!$A24="","",TRIM(IF(OR('Project Register'!E24="",'Project Register'!F24=""),"Missing date. ","")&amp;IF(AND('Project Register'!E24&lt;&gt;"",'Project Register'!F24&lt;&gt;"",'Project Register'!F24&lt;'Project Register'!E24),"End before start. ","")&amp;IF(NOT(ISNUMBER('Project Register'!G24)),"Effort missing. ","")&amp;IF(D24=0,"No resource. ","")&amp;IF(AND('Project Register'!H24&lt;&gt;"",'Project Register'!I24=""),"Role 1 missing. ","")&amp;IF(AND('Project Register'!J24&lt;&gt;"",'Project Register'!K24=""),"Role 2 missing. ","")&amp;IF(AND('Project Register'!L24&lt;&gt;"",'Project Register'!M24=""),"Role 3 missing. ","")&amp;IF(OR(AND('Project Register'!H24&lt;&gt;"",'Project Register'!H24='Project Register'!J24),AND('Project Register'!H24&lt;&gt;"",'Project Register'!H24='Project Register'!L24),AND('Project Register'!J24&lt;&gt;"",'Project Register'!J24='Project Register'!L24)),"Same person listed twice. ","")&amp;IF(AND('Project Register'!H24&lt;&gt;"",COUNTIF(Resources!$A$2:$A$51,'Project Register'!H24)=0),"Resource 1 not in Resources sheet. ","")&amp;IF(AND('Project Register'!J24&lt;&gt;"",COUNTIF(Resources!$A$2:$A$51,'Project Register'!J24)=0),"Resource 2 not in Resources sheet. ","")&amp;IF(AND('Project Register'!L24&lt;&gt;"",COUNTIF(Resources!$A$2:$A$51,'Project Register'!L24)=0),"Resource 3 not in Resources sheet. ","")&amp;IF('Project Register'!O24="","Test Status missing. ","")&amp;IF(AND(ISNUMBER(E24),E24&gt;1),"This task alone needs over 100% per person. ","")&amp;IF(AND('Project Register'!Q24="Deployed in Live",'Project Register'!R24=""),"Release Date blank (import date will be used). ","")))</f>
        <v/>
      </c>
      <c r="G24" s="17" t="str">
        <f aca="false">IF('Project Register'!$A24="","",IF(F24="","OK","Check"))</f>
        <v/>
      </c>
    </row>
    <row r="25" customFormat="false" ht="15" hidden="false" customHeight="false" outlineLevel="0" collapsed="false">
      <c r="A25" s="15" t="str">
        <f aca="false">IF('Project Register'!$A25="","",ROW('Project Register'!A25))</f>
        <v/>
      </c>
      <c r="B25" s="15" t="str">
        <f aca="false">IF('Project Register'!$A25="","",'Project Register'!B25)</f>
        <v/>
      </c>
      <c r="C25" s="15" t="str">
        <f aca="false">IF('Project Register'!$A25="","",IF(OR('Project Register'!E25="",'Project Register'!F25=""),"",IF('Project Register'!F25&lt;'Project Register'!E25,0,NETWORKDAYS.INTL('Project Register'!E25,'Project Register'!F25,"0000110",Holidays_Leave!$A$3:$A$62))))</f>
        <v/>
      </c>
      <c r="D25" s="15" t="str">
        <f aca="false">IF('Project Register'!$A25="","",('Project Register'!H25&lt;&gt;"")+('Project Register'!J25&lt;&gt;"")+('Project Register'!L25&lt;&gt;""))</f>
        <v/>
      </c>
      <c r="E25" s="16" t="str">
        <f aca="false">IF(OR(C25="",D25="",'Project Register'!G25=""),"",IF(OR(C25=0,D25=0),"",'Project Register'!G25/(C25*D25)))</f>
        <v/>
      </c>
      <c r="F25" s="15" t="str">
        <f aca="false">IF('Project Register'!$A25="","",TRIM(IF(OR('Project Register'!E25="",'Project Register'!F25=""),"Missing date. ","")&amp;IF(AND('Project Register'!E25&lt;&gt;"",'Project Register'!F25&lt;&gt;"",'Project Register'!F25&lt;'Project Register'!E25),"End before start. ","")&amp;IF(NOT(ISNUMBER('Project Register'!G25)),"Effort missing. ","")&amp;IF(D25=0,"No resource. ","")&amp;IF(AND('Project Register'!H25&lt;&gt;"",'Project Register'!I25=""),"Role 1 missing. ","")&amp;IF(AND('Project Register'!J25&lt;&gt;"",'Project Register'!K25=""),"Role 2 missing. ","")&amp;IF(AND('Project Register'!L25&lt;&gt;"",'Project Register'!M25=""),"Role 3 missing. ","")&amp;IF(OR(AND('Project Register'!H25&lt;&gt;"",'Project Register'!H25='Project Register'!J25),AND('Project Register'!H25&lt;&gt;"",'Project Register'!H25='Project Register'!L25),AND('Project Register'!J25&lt;&gt;"",'Project Register'!J25='Project Register'!L25)),"Same person listed twice. ","")&amp;IF(AND('Project Register'!H25&lt;&gt;"",COUNTIF(Resources!$A$2:$A$51,'Project Register'!H25)=0),"Resource 1 not in Resources sheet. ","")&amp;IF(AND('Project Register'!J25&lt;&gt;"",COUNTIF(Resources!$A$2:$A$51,'Project Register'!J25)=0),"Resource 2 not in Resources sheet. ","")&amp;IF(AND('Project Register'!L25&lt;&gt;"",COUNTIF(Resources!$A$2:$A$51,'Project Register'!L25)=0),"Resource 3 not in Resources sheet. ","")&amp;IF('Project Register'!O25="","Test Status missing. ","")&amp;IF(AND(ISNUMBER(E25),E25&gt;1),"This task alone needs over 100% per person. ","")&amp;IF(AND('Project Register'!Q25="Deployed in Live",'Project Register'!R25=""),"Release Date blank (import date will be used). ","")))</f>
        <v/>
      </c>
      <c r="G25" s="17" t="str">
        <f aca="false">IF('Project Register'!$A25="","",IF(F25="","OK","Check"))</f>
        <v/>
      </c>
    </row>
    <row r="26" customFormat="false" ht="15" hidden="false" customHeight="false" outlineLevel="0" collapsed="false">
      <c r="A26" s="15" t="str">
        <f aca="false">IF('Project Register'!$A26="","",ROW('Project Register'!A26))</f>
        <v/>
      </c>
      <c r="B26" s="15" t="str">
        <f aca="false">IF('Project Register'!$A26="","",'Project Register'!B26)</f>
        <v/>
      </c>
      <c r="C26" s="15" t="str">
        <f aca="false">IF('Project Register'!$A26="","",IF(OR('Project Register'!E26="",'Project Register'!F26=""),"",IF('Project Register'!F26&lt;'Project Register'!E26,0,NETWORKDAYS.INTL('Project Register'!E26,'Project Register'!F26,"0000110",Holidays_Leave!$A$3:$A$62))))</f>
        <v/>
      </c>
      <c r="D26" s="15" t="str">
        <f aca="false">IF('Project Register'!$A26="","",('Project Register'!H26&lt;&gt;"")+('Project Register'!J26&lt;&gt;"")+('Project Register'!L26&lt;&gt;""))</f>
        <v/>
      </c>
      <c r="E26" s="16" t="str">
        <f aca="false">IF(OR(C26="",D26="",'Project Register'!G26=""),"",IF(OR(C26=0,D26=0),"",'Project Register'!G26/(C26*D26)))</f>
        <v/>
      </c>
      <c r="F26" s="15" t="str">
        <f aca="false">IF('Project Register'!$A26="","",TRIM(IF(OR('Project Register'!E26="",'Project Register'!F26=""),"Missing date. ","")&amp;IF(AND('Project Register'!E26&lt;&gt;"",'Project Register'!F26&lt;&gt;"",'Project Register'!F26&lt;'Project Register'!E26),"End before start. ","")&amp;IF(NOT(ISNUMBER('Project Register'!G26)),"Effort missing. ","")&amp;IF(D26=0,"No resource. ","")&amp;IF(AND('Project Register'!H26&lt;&gt;"",'Project Register'!I26=""),"Role 1 missing. ","")&amp;IF(AND('Project Register'!J26&lt;&gt;"",'Project Register'!K26=""),"Role 2 missing. ","")&amp;IF(AND('Project Register'!L26&lt;&gt;"",'Project Register'!M26=""),"Role 3 missing. ","")&amp;IF(OR(AND('Project Register'!H26&lt;&gt;"",'Project Register'!H26='Project Register'!J26),AND('Project Register'!H26&lt;&gt;"",'Project Register'!H26='Project Register'!L26),AND('Project Register'!J26&lt;&gt;"",'Project Register'!J26='Project Register'!L26)),"Same person listed twice. ","")&amp;IF(AND('Project Register'!H26&lt;&gt;"",COUNTIF(Resources!$A$2:$A$51,'Project Register'!H26)=0),"Resource 1 not in Resources sheet. ","")&amp;IF(AND('Project Register'!J26&lt;&gt;"",COUNTIF(Resources!$A$2:$A$51,'Project Register'!J26)=0),"Resource 2 not in Resources sheet. ","")&amp;IF(AND('Project Register'!L26&lt;&gt;"",COUNTIF(Resources!$A$2:$A$51,'Project Register'!L26)=0),"Resource 3 not in Resources sheet. ","")&amp;IF('Project Register'!O26="","Test Status missing. ","")&amp;IF(AND(ISNUMBER(E26),E26&gt;1),"This task alone needs over 100% per person. ","")&amp;IF(AND('Project Register'!Q26="Deployed in Live",'Project Register'!R26=""),"Release Date blank (import date will be used). ","")))</f>
        <v/>
      </c>
      <c r="G26" s="17" t="str">
        <f aca="false">IF('Project Register'!$A26="","",IF(F26="","OK","Check"))</f>
        <v/>
      </c>
    </row>
    <row r="27" customFormat="false" ht="15" hidden="false" customHeight="false" outlineLevel="0" collapsed="false">
      <c r="A27" s="15" t="str">
        <f aca="false">IF('Project Register'!$A27="","",ROW('Project Register'!A27))</f>
        <v/>
      </c>
      <c r="B27" s="15" t="str">
        <f aca="false">IF('Project Register'!$A27="","",'Project Register'!B27)</f>
        <v/>
      </c>
      <c r="C27" s="15" t="str">
        <f aca="false">IF('Project Register'!$A27="","",IF(OR('Project Register'!E27="",'Project Register'!F27=""),"",IF('Project Register'!F27&lt;'Project Register'!E27,0,NETWORKDAYS.INTL('Project Register'!E27,'Project Register'!F27,"0000110",Holidays_Leave!$A$3:$A$62))))</f>
        <v/>
      </c>
      <c r="D27" s="15" t="str">
        <f aca="false">IF('Project Register'!$A27="","",('Project Register'!H27&lt;&gt;"")+('Project Register'!J27&lt;&gt;"")+('Project Register'!L27&lt;&gt;""))</f>
        <v/>
      </c>
      <c r="E27" s="16" t="str">
        <f aca="false">IF(OR(C27="",D27="",'Project Register'!G27=""),"",IF(OR(C27=0,D27=0),"",'Project Register'!G27/(C27*D27)))</f>
        <v/>
      </c>
      <c r="F27" s="15" t="str">
        <f aca="false">IF('Project Register'!$A27="","",TRIM(IF(OR('Project Register'!E27="",'Project Register'!F27=""),"Missing date. ","")&amp;IF(AND('Project Register'!E27&lt;&gt;"",'Project Register'!F27&lt;&gt;"",'Project Register'!F27&lt;'Project Register'!E27),"End before start. ","")&amp;IF(NOT(ISNUMBER('Project Register'!G27)),"Effort missing. ","")&amp;IF(D27=0,"No resource. ","")&amp;IF(AND('Project Register'!H27&lt;&gt;"",'Project Register'!I27=""),"Role 1 missing. ","")&amp;IF(AND('Project Register'!J27&lt;&gt;"",'Project Register'!K27=""),"Role 2 missing. ","")&amp;IF(AND('Project Register'!L27&lt;&gt;"",'Project Register'!M27=""),"Role 3 missing. ","")&amp;IF(OR(AND('Project Register'!H27&lt;&gt;"",'Project Register'!H27='Project Register'!J27),AND('Project Register'!H27&lt;&gt;"",'Project Register'!H27='Project Register'!L27),AND('Project Register'!J27&lt;&gt;"",'Project Register'!J27='Project Register'!L27)),"Same person listed twice. ","")&amp;IF(AND('Project Register'!H27&lt;&gt;"",COUNTIF(Resources!$A$2:$A$51,'Project Register'!H27)=0),"Resource 1 not in Resources sheet. ","")&amp;IF(AND('Project Register'!J27&lt;&gt;"",COUNTIF(Resources!$A$2:$A$51,'Project Register'!J27)=0),"Resource 2 not in Resources sheet. ","")&amp;IF(AND('Project Register'!L27&lt;&gt;"",COUNTIF(Resources!$A$2:$A$51,'Project Register'!L27)=0),"Resource 3 not in Resources sheet. ","")&amp;IF('Project Register'!O27="","Test Status missing. ","")&amp;IF(AND(ISNUMBER(E27),E27&gt;1),"This task alone needs over 100% per person. ","")&amp;IF(AND('Project Register'!Q27="Deployed in Live",'Project Register'!R27=""),"Release Date blank (import date will be used). ","")))</f>
        <v/>
      </c>
      <c r="G27" s="17" t="str">
        <f aca="false">IF('Project Register'!$A27="","",IF(F27="","OK","Check"))</f>
        <v/>
      </c>
    </row>
    <row r="28" customFormat="false" ht="15" hidden="false" customHeight="false" outlineLevel="0" collapsed="false">
      <c r="A28" s="15" t="str">
        <f aca="false">IF('Project Register'!$A28="","",ROW('Project Register'!A28))</f>
        <v/>
      </c>
      <c r="B28" s="15" t="str">
        <f aca="false">IF('Project Register'!$A28="","",'Project Register'!B28)</f>
        <v/>
      </c>
      <c r="C28" s="15" t="str">
        <f aca="false">IF('Project Register'!$A28="","",IF(OR('Project Register'!E28="",'Project Register'!F28=""),"",IF('Project Register'!F28&lt;'Project Register'!E28,0,NETWORKDAYS.INTL('Project Register'!E28,'Project Register'!F28,"0000110",Holidays_Leave!$A$3:$A$62))))</f>
        <v/>
      </c>
      <c r="D28" s="15" t="str">
        <f aca="false">IF('Project Register'!$A28="","",('Project Register'!H28&lt;&gt;"")+('Project Register'!J28&lt;&gt;"")+('Project Register'!L28&lt;&gt;""))</f>
        <v/>
      </c>
      <c r="E28" s="16" t="str">
        <f aca="false">IF(OR(C28="",D28="",'Project Register'!G28=""),"",IF(OR(C28=0,D28=0),"",'Project Register'!G28/(C28*D28)))</f>
        <v/>
      </c>
      <c r="F28" s="15" t="str">
        <f aca="false">IF('Project Register'!$A28="","",TRIM(IF(OR('Project Register'!E28="",'Project Register'!F28=""),"Missing date. ","")&amp;IF(AND('Project Register'!E28&lt;&gt;"",'Project Register'!F28&lt;&gt;"",'Project Register'!F28&lt;'Project Register'!E28),"End before start. ","")&amp;IF(NOT(ISNUMBER('Project Register'!G28)),"Effort missing. ","")&amp;IF(D28=0,"No resource. ","")&amp;IF(AND('Project Register'!H28&lt;&gt;"",'Project Register'!I28=""),"Role 1 missing. ","")&amp;IF(AND('Project Register'!J28&lt;&gt;"",'Project Register'!K28=""),"Role 2 missing. ","")&amp;IF(AND('Project Register'!L28&lt;&gt;"",'Project Register'!M28=""),"Role 3 missing. ","")&amp;IF(OR(AND('Project Register'!H28&lt;&gt;"",'Project Register'!H28='Project Register'!J28),AND('Project Register'!H28&lt;&gt;"",'Project Register'!H28='Project Register'!L28),AND('Project Register'!J28&lt;&gt;"",'Project Register'!J28='Project Register'!L28)),"Same person listed twice. ","")&amp;IF(AND('Project Register'!H28&lt;&gt;"",COUNTIF(Resources!$A$2:$A$51,'Project Register'!H28)=0),"Resource 1 not in Resources sheet. ","")&amp;IF(AND('Project Register'!J28&lt;&gt;"",COUNTIF(Resources!$A$2:$A$51,'Project Register'!J28)=0),"Resource 2 not in Resources sheet. ","")&amp;IF(AND('Project Register'!L28&lt;&gt;"",COUNTIF(Resources!$A$2:$A$51,'Project Register'!L28)=0),"Resource 3 not in Resources sheet. ","")&amp;IF('Project Register'!O28="","Test Status missing. ","")&amp;IF(AND(ISNUMBER(E28),E28&gt;1),"This task alone needs over 100% per person. ","")&amp;IF(AND('Project Register'!Q28="Deployed in Live",'Project Register'!R28=""),"Release Date blank (import date will be used). ","")))</f>
        <v/>
      </c>
      <c r="G28" s="17" t="str">
        <f aca="false">IF('Project Register'!$A28="","",IF(F28="","OK","Check"))</f>
        <v/>
      </c>
    </row>
    <row r="29" customFormat="false" ht="15" hidden="false" customHeight="false" outlineLevel="0" collapsed="false">
      <c r="A29" s="15" t="str">
        <f aca="false">IF('Project Register'!$A29="","",ROW('Project Register'!A29))</f>
        <v/>
      </c>
      <c r="B29" s="15" t="str">
        <f aca="false">IF('Project Register'!$A29="","",'Project Register'!B29)</f>
        <v/>
      </c>
      <c r="C29" s="15" t="str">
        <f aca="false">IF('Project Register'!$A29="","",IF(OR('Project Register'!E29="",'Project Register'!F29=""),"",IF('Project Register'!F29&lt;'Project Register'!E29,0,NETWORKDAYS.INTL('Project Register'!E29,'Project Register'!F29,"0000110",Holidays_Leave!$A$3:$A$62))))</f>
        <v/>
      </c>
      <c r="D29" s="15" t="str">
        <f aca="false">IF('Project Register'!$A29="","",('Project Register'!H29&lt;&gt;"")+('Project Register'!J29&lt;&gt;"")+('Project Register'!L29&lt;&gt;""))</f>
        <v/>
      </c>
      <c r="E29" s="16" t="str">
        <f aca="false">IF(OR(C29="",D29="",'Project Register'!G29=""),"",IF(OR(C29=0,D29=0),"",'Project Register'!G29/(C29*D29)))</f>
        <v/>
      </c>
      <c r="F29" s="15" t="str">
        <f aca="false">IF('Project Register'!$A29="","",TRIM(IF(OR('Project Register'!E29="",'Project Register'!F29=""),"Missing date. ","")&amp;IF(AND('Project Register'!E29&lt;&gt;"",'Project Register'!F29&lt;&gt;"",'Project Register'!F29&lt;'Project Register'!E29),"End before start. ","")&amp;IF(NOT(ISNUMBER('Project Register'!G29)),"Effort missing. ","")&amp;IF(D29=0,"No resource. ","")&amp;IF(AND('Project Register'!H29&lt;&gt;"",'Project Register'!I29=""),"Role 1 missing. ","")&amp;IF(AND('Project Register'!J29&lt;&gt;"",'Project Register'!K29=""),"Role 2 missing. ","")&amp;IF(AND('Project Register'!L29&lt;&gt;"",'Project Register'!M29=""),"Role 3 missing. ","")&amp;IF(OR(AND('Project Register'!H29&lt;&gt;"",'Project Register'!H29='Project Register'!J29),AND('Project Register'!H29&lt;&gt;"",'Project Register'!H29='Project Register'!L29),AND('Project Register'!J29&lt;&gt;"",'Project Register'!J29='Project Register'!L29)),"Same person listed twice. ","")&amp;IF(AND('Project Register'!H29&lt;&gt;"",COUNTIF(Resources!$A$2:$A$51,'Project Register'!H29)=0),"Resource 1 not in Resources sheet. ","")&amp;IF(AND('Project Register'!J29&lt;&gt;"",COUNTIF(Resources!$A$2:$A$51,'Project Register'!J29)=0),"Resource 2 not in Resources sheet. ","")&amp;IF(AND('Project Register'!L29&lt;&gt;"",COUNTIF(Resources!$A$2:$A$51,'Project Register'!L29)=0),"Resource 3 not in Resources sheet. ","")&amp;IF('Project Register'!O29="","Test Status missing. ","")&amp;IF(AND(ISNUMBER(E29),E29&gt;1),"This task alone needs over 100% per person. ","")&amp;IF(AND('Project Register'!Q29="Deployed in Live",'Project Register'!R29=""),"Release Date blank (import date will be used). ","")))</f>
        <v/>
      </c>
      <c r="G29" s="17" t="str">
        <f aca="false">IF('Project Register'!$A29="","",IF(F29="","OK","Check"))</f>
        <v/>
      </c>
    </row>
    <row r="30" customFormat="false" ht="15" hidden="false" customHeight="false" outlineLevel="0" collapsed="false">
      <c r="A30" s="15" t="str">
        <f aca="false">IF('Project Register'!$A30="","",ROW('Project Register'!A30))</f>
        <v/>
      </c>
      <c r="B30" s="15" t="str">
        <f aca="false">IF('Project Register'!$A30="","",'Project Register'!B30)</f>
        <v/>
      </c>
      <c r="C30" s="15" t="str">
        <f aca="false">IF('Project Register'!$A30="","",IF(OR('Project Register'!E30="",'Project Register'!F30=""),"",IF('Project Register'!F30&lt;'Project Register'!E30,0,NETWORKDAYS.INTL('Project Register'!E30,'Project Register'!F30,"0000110",Holidays_Leave!$A$3:$A$62))))</f>
        <v/>
      </c>
      <c r="D30" s="15" t="str">
        <f aca="false">IF('Project Register'!$A30="","",('Project Register'!H30&lt;&gt;"")+('Project Register'!J30&lt;&gt;"")+('Project Register'!L30&lt;&gt;""))</f>
        <v/>
      </c>
      <c r="E30" s="16" t="str">
        <f aca="false">IF(OR(C30="",D30="",'Project Register'!G30=""),"",IF(OR(C30=0,D30=0),"",'Project Register'!G30/(C30*D30)))</f>
        <v/>
      </c>
      <c r="F30" s="15" t="str">
        <f aca="false">IF('Project Register'!$A30="","",TRIM(IF(OR('Project Register'!E30="",'Project Register'!F30=""),"Missing date. ","")&amp;IF(AND('Project Register'!E30&lt;&gt;"",'Project Register'!F30&lt;&gt;"",'Project Register'!F30&lt;'Project Register'!E30),"End before start. ","")&amp;IF(NOT(ISNUMBER('Project Register'!G30)),"Effort missing. ","")&amp;IF(D30=0,"No resource. ","")&amp;IF(AND('Project Register'!H30&lt;&gt;"",'Project Register'!I30=""),"Role 1 missing. ","")&amp;IF(AND('Project Register'!J30&lt;&gt;"",'Project Register'!K30=""),"Role 2 missing. ","")&amp;IF(AND('Project Register'!L30&lt;&gt;"",'Project Register'!M30=""),"Role 3 missing. ","")&amp;IF(OR(AND('Project Register'!H30&lt;&gt;"",'Project Register'!H30='Project Register'!J30),AND('Project Register'!H30&lt;&gt;"",'Project Register'!H30='Project Register'!L30),AND('Project Register'!J30&lt;&gt;"",'Project Register'!J30='Project Register'!L30)),"Same person listed twice. ","")&amp;IF(AND('Project Register'!H30&lt;&gt;"",COUNTIF(Resources!$A$2:$A$51,'Project Register'!H30)=0),"Resource 1 not in Resources sheet. ","")&amp;IF(AND('Project Register'!J30&lt;&gt;"",COUNTIF(Resources!$A$2:$A$51,'Project Register'!J30)=0),"Resource 2 not in Resources sheet. ","")&amp;IF(AND('Project Register'!L30&lt;&gt;"",COUNTIF(Resources!$A$2:$A$51,'Project Register'!L30)=0),"Resource 3 not in Resources sheet. ","")&amp;IF('Project Register'!O30="","Test Status missing. ","")&amp;IF(AND(ISNUMBER(E30),E30&gt;1),"This task alone needs over 100% per person. ","")&amp;IF(AND('Project Register'!Q30="Deployed in Live",'Project Register'!R30=""),"Release Date blank (import date will be used). ","")))</f>
        <v/>
      </c>
      <c r="G30" s="17" t="str">
        <f aca="false">IF('Project Register'!$A30="","",IF(F30="","OK","Check"))</f>
        <v/>
      </c>
    </row>
    <row r="31" customFormat="false" ht="15" hidden="false" customHeight="false" outlineLevel="0" collapsed="false">
      <c r="A31" s="15" t="str">
        <f aca="false">IF('Project Register'!$A31="","",ROW('Project Register'!A31))</f>
        <v/>
      </c>
      <c r="B31" s="15" t="str">
        <f aca="false">IF('Project Register'!$A31="","",'Project Register'!B31)</f>
        <v/>
      </c>
      <c r="C31" s="15" t="str">
        <f aca="false">IF('Project Register'!$A31="","",IF(OR('Project Register'!E31="",'Project Register'!F31=""),"",IF('Project Register'!F31&lt;'Project Register'!E31,0,NETWORKDAYS.INTL('Project Register'!E31,'Project Register'!F31,"0000110",Holidays_Leave!$A$3:$A$62))))</f>
        <v/>
      </c>
      <c r="D31" s="15" t="str">
        <f aca="false">IF('Project Register'!$A31="","",('Project Register'!H31&lt;&gt;"")+('Project Register'!J31&lt;&gt;"")+('Project Register'!L31&lt;&gt;""))</f>
        <v/>
      </c>
      <c r="E31" s="16" t="str">
        <f aca="false">IF(OR(C31="",D31="",'Project Register'!G31=""),"",IF(OR(C31=0,D31=0),"",'Project Register'!G31/(C31*D31)))</f>
        <v/>
      </c>
      <c r="F31" s="15" t="str">
        <f aca="false">IF('Project Register'!$A31="","",TRIM(IF(OR('Project Register'!E31="",'Project Register'!F31=""),"Missing date. ","")&amp;IF(AND('Project Register'!E31&lt;&gt;"",'Project Register'!F31&lt;&gt;"",'Project Register'!F31&lt;'Project Register'!E31),"End before start. ","")&amp;IF(NOT(ISNUMBER('Project Register'!G31)),"Effort missing. ","")&amp;IF(D31=0,"No resource. ","")&amp;IF(AND('Project Register'!H31&lt;&gt;"",'Project Register'!I31=""),"Role 1 missing. ","")&amp;IF(AND('Project Register'!J31&lt;&gt;"",'Project Register'!K31=""),"Role 2 missing. ","")&amp;IF(AND('Project Register'!L31&lt;&gt;"",'Project Register'!M31=""),"Role 3 missing. ","")&amp;IF(OR(AND('Project Register'!H31&lt;&gt;"",'Project Register'!H31='Project Register'!J31),AND('Project Register'!H31&lt;&gt;"",'Project Register'!H31='Project Register'!L31),AND('Project Register'!J31&lt;&gt;"",'Project Register'!J31='Project Register'!L31)),"Same person listed twice. ","")&amp;IF(AND('Project Register'!H31&lt;&gt;"",COUNTIF(Resources!$A$2:$A$51,'Project Register'!H31)=0),"Resource 1 not in Resources sheet. ","")&amp;IF(AND('Project Register'!J31&lt;&gt;"",COUNTIF(Resources!$A$2:$A$51,'Project Register'!J31)=0),"Resource 2 not in Resources sheet. ","")&amp;IF(AND('Project Register'!L31&lt;&gt;"",COUNTIF(Resources!$A$2:$A$51,'Project Register'!L31)=0),"Resource 3 not in Resources sheet. ","")&amp;IF('Project Register'!O31="","Test Status missing. ","")&amp;IF(AND(ISNUMBER(E31),E31&gt;1),"This task alone needs over 100% per person. ","")&amp;IF(AND('Project Register'!Q31="Deployed in Live",'Project Register'!R31=""),"Release Date blank (import date will be used). ","")))</f>
        <v/>
      </c>
      <c r="G31" s="17" t="str">
        <f aca="false">IF('Project Register'!$A31="","",IF(F31="","OK","Check"))</f>
        <v/>
      </c>
    </row>
    <row r="32" customFormat="false" ht="15" hidden="false" customHeight="false" outlineLevel="0" collapsed="false">
      <c r="A32" s="15" t="str">
        <f aca="false">IF('Project Register'!$A32="","",ROW('Project Register'!A32))</f>
        <v/>
      </c>
      <c r="B32" s="15" t="str">
        <f aca="false">IF('Project Register'!$A32="","",'Project Register'!B32)</f>
        <v/>
      </c>
      <c r="C32" s="15" t="str">
        <f aca="false">IF('Project Register'!$A32="","",IF(OR('Project Register'!E32="",'Project Register'!F32=""),"",IF('Project Register'!F32&lt;'Project Register'!E32,0,NETWORKDAYS.INTL('Project Register'!E32,'Project Register'!F32,"0000110",Holidays_Leave!$A$3:$A$62))))</f>
        <v/>
      </c>
      <c r="D32" s="15" t="str">
        <f aca="false">IF('Project Register'!$A32="","",('Project Register'!H32&lt;&gt;"")+('Project Register'!J32&lt;&gt;"")+('Project Register'!L32&lt;&gt;""))</f>
        <v/>
      </c>
      <c r="E32" s="16" t="str">
        <f aca="false">IF(OR(C32="",D32="",'Project Register'!G32=""),"",IF(OR(C32=0,D32=0),"",'Project Register'!G32/(C32*D32)))</f>
        <v/>
      </c>
      <c r="F32" s="15" t="str">
        <f aca="false">IF('Project Register'!$A32="","",TRIM(IF(OR('Project Register'!E32="",'Project Register'!F32=""),"Missing date. ","")&amp;IF(AND('Project Register'!E32&lt;&gt;"",'Project Register'!F32&lt;&gt;"",'Project Register'!F32&lt;'Project Register'!E32),"End before start. ","")&amp;IF(NOT(ISNUMBER('Project Register'!G32)),"Effort missing. ","")&amp;IF(D32=0,"No resource. ","")&amp;IF(AND('Project Register'!H32&lt;&gt;"",'Project Register'!I32=""),"Role 1 missing. ","")&amp;IF(AND('Project Register'!J32&lt;&gt;"",'Project Register'!K32=""),"Role 2 missing. ","")&amp;IF(AND('Project Register'!L32&lt;&gt;"",'Project Register'!M32=""),"Role 3 missing. ","")&amp;IF(OR(AND('Project Register'!H32&lt;&gt;"",'Project Register'!H32='Project Register'!J32),AND('Project Register'!H32&lt;&gt;"",'Project Register'!H32='Project Register'!L32),AND('Project Register'!J32&lt;&gt;"",'Project Register'!J32='Project Register'!L32)),"Same person listed twice. ","")&amp;IF(AND('Project Register'!H32&lt;&gt;"",COUNTIF(Resources!$A$2:$A$51,'Project Register'!H32)=0),"Resource 1 not in Resources sheet. ","")&amp;IF(AND('Project Register'!J32&lt;&gt;"",COUNTIF(Resources!$A$2:$A$51,'Project Register'!J32)=0),"Resource 2 not in Resources sheet. ","")&amp;IF(AND('Project Register'!L32&lt;&gt;"",COUNTIF(Resources!$A$2:$A$51,'Project Register'!L32)=0),"Resource 3 not in Resources sheet. ","")&amp;IF('Project Register'!O32="","Test Status missing. ","")&amp;IF(AND(ISNUMBER(E32),E32&gt;1),"This task alone needs over 100% per person. ","")&amp;IF(AND('Project Register'!Q32="Deployed in Live",'Project Register'!R32=""),"Release Date blank (import date will be used). ","")))</f>
        <v/>
      </c>
      <c r="G32" s="17" t="str">
        <f aca="false">IF('Project Register'!$A32="","",IF(F32="","OK","Check"))</f>
        <v/>
      </c>
    </row>
    <row r="33" customFormat="false" ht="15" hidden="false" customHeight="false" outlineLevel="0" collapsed="false">
      <c r="A33" s="15" t="str">
        <f aca="false">IF('Project Register'!$A33="","",ROW('Project Register'!A33))</f>
        <v/>
      </c>
      <c r="B33" s="15" t="str">
        <f aca="false">IF('Project Register'!$A33="","",'Project Register'!B33)</f>
        <v/>
      </c>
      <c r="C33" s="15" t="str">
        <f aca="false">IF('Project Register'!$A33="","",IF(OR('Project Register'!E33="",'Project Register'!F33=""),"",IF('Project Register'!F33&lt;'Project Register'!E33,0,NETWORKDAYS.INTL('Project Register'!E33,'Project Register'!F33,"0000110",Holidays_Leave!$A$3:$A$62))))</f>
        <v/>
      </c>
      <c r="D33" s="15" t="str">
        <f aca="false">IF('Project Register'!$A33="","",('Project Register'!H33&lt;&gt;"")+('Project Register'!J33&lt;&gt;"")+('Project Register'!L33&lt;&gt;""))</f>
        <v/>
      </c>
      <c r="E33" s="16" t="str">
        <f aca="false">IF(OR(C33="",D33="",'Project Register'!G33=""),"",IF(OR(C33=0,D33=0),"",'Project Register'!G33/(C33*D33)))</f>
        <v/>
      </c>
      <c r="F33" s="15" t="str">
        <f aca="false">IF('Project Register'!$A33="","",TRIM(IF(OR('Project Register'!E33="",'Project Register'!F33=""),"Missing date. ","")&amp;IF(AND('Project Register'!E33&lt;&gt;"",'Project Register'!F33&lt;&gt;"",'Project Register'!F33&lt;'Project Register'!E33),"End before start. ","")&amp;IF(NOT(ISNUMBER('Project Register'!G33)),"Effort missing. ","")&amp;IF(D33=0,"No resource. ","")&amp;IF(AND('Project Register'!H33&lt;&gt;"",'Project Register'!I33=""),"Role 1 missing. ","")&amp;IF(AND('Project Register'!J33&lt;&gt;"",'Project Register'!K33=""),"Role 2 missing. ","")&amp;IF(AND('Project Register'!L33&lt;&gt;"",'Project Register'!M33=""),"Role 3 missing. ","")&amp;IF(OR(AND('Project Register'!H33&lt;&gt;"",'Project Register'!H33='Project Register'!J33),AND('Project Register'!H33&lt;&gt;"",'Project Register'!H33='Project Register'!L33),AND('Project Register'!J33&lt;&gt;"",'Project Register'!J33='Project Register'!L33)),"Same person listed twice. ","")&amp;IF(AND('Project Register'!H33&lt;&gt;"",COUNTIF(Resources!$A$2:$A$51,'Project Register'!H33)=0),"Resource 1 not in Resources sheet. ","")&amp;IF(AND('Project Register'!J33&lt;&gt;"",COUNTIF(Resources!$A$2:$A$51,'Project Register'!J33)=0),"Resource 2 not in Resources sheet. ","")&amp;IF(AND('Project Register'!L33&lt;&gt;"",COUNTIF(Resources!$A$2:$A$51,'Project Register'!L33)=0),"Resource 3 not in Resources sheet. ","")&amp;IF('Project Register'!O33="","Test Status missing. ","")&amp;IF(AND(ISNUMBER(E33),E33&gt;1),"This task alone needs over 100% per person. ","")&amp;IF(AND('Project Register'!Q33="Deployed in Live",'Project Register'!R33=""),"Release Date blank (import date will be used). ","")))</f>
        <v/>
      </c>
      <c r="G33" s="17" t="str">
        <f aca="false">IF('Project Register'!$A33="","",IF(F33="","OK","Check"))</f>
        <v/>
      </c>
    </row>
    <row r="34" customFormat="false" ht="15" hidden="false" customHeight="false" outlineLevel="0" collapsed="false">
      <c r="A34" s="15" t="str">
        <f aca="false">IF('Project Register'!$A34="","",ROW('Project Register'!A34))</f>
        <v/>
      </c>
      <c r="B34" s="15" t="str">
        <f aca="false">IF('Project Register'!$A34="","",'Project Register'!B34)</f>
        <v/>
      </c>
      <c r="C34" s="15" t="str">
        <f aca="false">IF('Project Register'!$A34="","",IF(OR('Project Register'!E34="",'Project Register'!F34=""),"",IF('Project Register'!F34&lt;'Project Register'!E34,0,NETWORKDAYS.INTL('Project Register'!E34,'Project Register'!F34,"0000110",Holidays_Leave!$A$3:$A$62))))</f>
        <v/>
      </c>
      <c r="D34" s="15" t="str">
        <f aca="false">IF('Project Register'!$A34="","",('Project Register'!H34&lt;&gt;"")+('Project Register'!J34&lt;&gt;"")+('Project Register'!L34&lt;&gt;""))</f>
        <v/>
      </c>
      <c r="E34" s="16" t="str">
        <f aca="false">IF(OR(C34="",D34="",'Project Register'!G34=""),"",IF(OR(C34=0,D34=0),"",'Project Register'!G34/(C34*D34)))</f>
        <v/>
      </c>
      <c r="F34" s="15" t="str">
        <f aca="false">IF('Project Register'!$A34="","",TRIM(IF(OR('Project Register'!E34="",'Project Register'!F34=""),"Missing date. ","")&amp;IF(AND('Project Register'!E34&lt;&gt;"",'Project Register'!F34&lt;&gt;"",'Project Register'!F34&lt;'Project Register'!E34),"End before start. ","")&amp;IF(NOT(ISNUMBER('Project Register'!G34)),"Effort missing. ","")&amp;IF(D34=0,"No resource. ","")&amp;IF(AND('Project Register'!H34&lt;&gt;"",'Project Register'!I34=""),"Role 1 missing. ","")&amp;IF(AND('Project Register'!J34&lt;&gt;"",'Project Register'!K34=""),"Role 2 missing. ","")&amp;IF(AND('Project Register'!L34&lt;&gt;"",'Project Register'!M34=""),"Role 3 missing. ","")&amp;IF(OR(AND('Project Register'!H34&lt;&gt;"",'Project Register'!H34='Project Register'!J34),AND('Project Register'!H34&lt;&gt;"",'Project Register'!H34='Project Register'!L34),AND('Project Register'!J34&lt;&gt;"",'Project Register'!J34='Project Register'!L34)),"Same person listed twice. ","")&amp;IF(AND('Project Register'!H34&lt;&gt;"",COUNTIF(Resources!$A$2:$A$51,'Project Register'!H34)=0),"Resource 1 not in Resources sheet. ","")&amp;IF(AND('Project Register'!J34&lt;&gt;"",COUNTIF(Resources!$A$2:$A$51,'Project Register'!J34)=0),"Resource 2 not in Resources sheet. ","")&amp;IF(AND('Project Register'!L34&lt;&gt;"",COUNTIF(Resources!$A$2:$A$51,'Project Register'!L34)=0),"Resource 3 not in Resources sheet. ","")&amp;IF('Project Register'!O34="","Test Status missing. ","")&amp;IF(AND(ISNUMBER(E34),E34&gt;1),"This task alone needs over 100% per person. ","")&amp;IF(AND('Project Register'!Q34="Deployed in Live",'Project Register'!R34=""),"Release Date blank (import date will be used). ","")))</f>
        <v/>
      </c>
      <c r="G34" s="17" t="str">
        <f aca="false">IF('Project Register'!$A34="","",IF(F34="","OK","Check"))</f>
        <v/>
      </c>
    </row>
    <row r="35" customFormat="false" ht="15" hidden="false" customHeight="false" outlineLevel="0" collapsed="false">
      <c r="A35" s="15" t="str">
        <f aca="false">IF('Project Register'!$A35="","",ROW('Project Register'!A35))</f>
        <v/>
      </c>
      <c r="B35" s="15" t="str">
        <f aca="false">IF('Project Register'!$A35="","",'Project Register'!B35)</f>
        <v/>
      </c>
      <c r="C35" s="15" t="str">
        <f aca="false">IF('Project Register'!$A35="","",IF(OR('Project Register'!E35="",'Project Register'!F35=""),"",IF('Project Register'!F35&lt;'Project Register'!E35,0,NETWORKDAYS.INTL('Project Register'!E35,'Project Register'!F35,"0000110",Holidays_Leave!$A$3:$A$62))))</f>
        <v/>
      </c>
      <c r="D35" s="15" t="str">
        <f aca="false">IF('Project Register'!$A35="","",('Project Register'!H35&lt;&gt;"")+('Project Register'!J35&lt;&gt;"")+('Project Register'!L35&lt;&gt;""))</f>
        <v/>
      </c>
      <c r="E35" s="16" t="str">
        <f aca="false">IF(OR(C35="",D35="",'Project Register'!G35=""),"",IF(OR(C35=0,D35=0),"",'Project Register'!G35/(C35*D35)))</f>
        <v/>
      </c>
      <c r="F35" s="15" t="str">
        <f aca="false">IF('Project Register'!$A35="","",TRIM(IF(OR('Project Register'!E35="",'Project Register'!F35=""),"Missing date. ","")&amp;IF(AND('Project Register'!E35&lt;&gt;"",'Project Register'!F35&lt;&gt;"",'Project Register'!F35&lt;'Project Register'!E35),"End before start. ","")&amp;IF(NOT(ISNUMBER('Project Register'!G35)),"Effort missing. ","")&amp;IF(D35=0,"No resource. ","")&amp;IF(AND('Project Register'!H35&lt;&gt;"",'Project Register'!I35=""),"Role 1 missing. ","")&amp;IF(AND('Project Register'!J35&lt;&gt;"",'Project Register'!K35=""),"Role 2 missing. ","")&amp;IF(AND('Project Register'!L35&lt;&gt;"",'Project Register'!M35=""),"Role 3 missing. ","")&amp;IF(OR(AND('Project Register'!H35&lt;&gt;"",'Project Register'!H35='Project Register'!J35),AND('Project Register'!H35&lt;&gt;"",'Project Register'!H35='Project Register'!L35),AND('Project Register'!J35&lt;&gt;"",'Project Register'!J35='Project Register'!L35)),"Same person listed twice. ","")&amp;IF(AND('Project Register'!H35&lt;&gt;"",COUNTIF(Resources!$A$2:$A$51,'Project Register'!H35)=0),"Resource 1 not in Resources sheet. ","")&amp;IF(AND('Project Register'!J35&lt;&gt;"",COUNTIF(Resources!$A$2:$A$51,'Project Register'!J35)=0),"Resource 2 not in Resources sheet. ","")&amp;IF(AND('Project Register'!L35&lt;&gt;"",COUNTIF(Resources!$A$2:$A$51,'Project Register'!L35)=0),"Resource 3 not in Resources sheet. ","")&amp;IF('Project Register'!O35="","Test Status missing. ","")&amp;IF(AND(ISNUMBER(E35),E35&gt;1),"This task alone needs over 100% per person. ","")&amp;IF(AND('Project Register'!Q35="Deployed in Live",'Project Register'!R35=""),"Release Date blank (import date will be used). ","")))</f>
        <v/>
      </c>
      <c r="G35" s="17" t="str">
        <f aca="false">IF('Project Register'!$A35="","",IF(F35="","OK","Check"))</f>
        <v/>
      </c>
    </row>
    <row r="36" customFormat="false" ht="15" hidden="false" customHeight="false" outlineLevel="0" collapsed="false">
      <c r="A36" s="15" t="str">
        <f aca="false">IF('Project Register'!$A36="","",ROW('Project Register'!A36))</f>
        <v/>
      </c>
      <c r="B36" s="15" t="str">
        <f aca="false">IF('Project Register'!$A36="","",'Project Register'!B36)</f>
        <v/>
      </c>
      <c r="C36" s="15" t="str">
        <f aca="false">IF('Project Register'!$A36="","",IF(OR('Project Register'!E36="",'Project Register'!F36=""),"",IF('Project Register'!F36&lt;'Project Register'!E36,0,NETWORKDAYS.INTL('Project Register'!E36,'Project Register'!F36,"0000110",Holidays_Leave!$A$3:$A$62))))</f>
        <v/>
      </c>
      <c r="D36" s="15" t="str">
        <f aca="false">IF('Project Register'!$A36="","",('Project Register'!H36&lt;&gt;"")+('Project Register'!J36&lt;&gt;"")+('Project Register'!L36&lt;&gt;""))</f>
        <v/>
      </c>
      <c r="E36" s="16" t="str">
        <f aca="false">IF(OR(C36="",D36="",'Project Register'!G36=""),"",IF(OR(C36=0,D36=0),"",'Project Register'!G36/(C36*D36)))</f>
        <v/>
      </c>
      <c r="F36" s="15" t="str">
        <f aca="false">IF('Project Register'!$A36="","",TRIM(IF(OR('Project Register'!E36="",'Project Register'!F36=""),"Missing date. ","")&amp;IF(AND('Project Register'!E36&lt;&gt;"",'Project Register'!F36&lt;&gt;"",'Project Register'!F36&lt;'Project Register'!E36),"End before start. ","")&amp;IF(NOT(ISNUMBER('Project Register'!G36)),"Effort missing. ","")&amp;IF(D36=0,"No resource. ","")&amp;IF(AND('Project Register'!H36&lt;&gt;"",'Project Register'!I36=""),"Role 1 missing. ","")&amp;IF(AND('Project Register'!J36&lt;&gt;"",'Project Register'!K36=""),"Role 2 missing. ","")&amp;IF(AND('Project Register'!L36&lt;&gt;"",'Project Register'!M36=""),"Role 3 missing. ","")&amp;IF(OR(AND('Project Register'!H36&lt;&gt;"",'Project Register'!H36='Project Register'!J36),AND('Project Register'!H36&lt;&gt;"",'Project Register'!H36='Project Register'!L36),AND('Project Register'!J36&lt;&gt;"",'Project Register'!J36='Project Register'!L36)),"Same person listed twice. ","")&amp;IF(AND('Project Register'!H36&lt;&gt;"",COUNTIF(Resources!$A$2:$A$51,'Project Register'!H36)=0),"Resource 1 not in Resources sheet. ","")&amp;IF(AND('Project Register'!J36&lt;&gt;"",COUNTIF(Resources!$A$2:$A$51,'Project Register'!J36)=0),"Resource 2 not in Resources sheet. ","")&amp;IF(AND('Project Register'!L36&lt;&gt;"",COUNTIF(Resources!$A$2:$A$51,'Project Register'!L36)=0),"Resource 3 not in Resources sheet. ","")&amp;IF('Project Register'!O36="","Test Status missing. ","")&amp;IF(AND(ISNUMBER(E36),E36&gt;1),"This task alone needs over 100% per person. ","")&amp;IF(AND('Project Register'!Q36="Deployed in Live",'Project Register'!R36=""),"Release Date blank (import date will be used). ","")))</f>
        <v/>
      </c>
      <c r="G36" s="17" t="str">
        <f aca="false">IF('Project Register'!$A36="","",IF(F36="","OK","Check"))</f>
        <v/>
      </c>
    </row>
    <row r="37" customFormat="false" ht="15" hidden="false" customHeight="false" outlineLevel="0" collapsed="false">
      <c r="A37" s="15" t="str">
        <f aca="false">IF('Project Register'!$A37="","",ROW('Project Register'!A37))</f>
        <v/>
      </c>
      <c r="B37" s="15" t="str">
        <f aca="false">IF('Project Register'!$A37="","",'Project Register'!B37)</f>
        <v/>
      </c>
      <c r="C37" s="15" t="str">
        <f aca="false">IF('Project Register'!$A37="","",IF(OR('Project Register'!E37="",'Project Register'!F37=""),"",IF('Project Register'!F37&lt;'Project Register'!E37,0,NETWORKDAYS.INTL('Project Register'!E37,'Project Register'!F37,"0000110",Holidays_Leave!$A$3:$A$62))))</f>
        <v/>
      </c>
      <c r="D37" s="15" t="str">
        <f aca="false">IF('Project Register'!$A37="","",('Project Register'!H37&lt;&gt;"")+('Project Register'!J37&lt;&gt;"")+('Project Register'!L37&lt;&gt;""))</f>
        <v/>
      </c>
      <c r="E37" s="16" t="str">
        <f aca="false">IF(OR(C37="",D37="",'Project Register'!G37=""),"",IF(OR(C37=0,D37=0),"",'Project Register'!G37/(C37*D37)))</f>
        <v/>
      </c>
      <c r="F37" s="15" t="str">
        <f aca="false">IF('Project Register'!$A37="","",TRIM(IF(OR('Project Register'!E37="",'Project Register'!F37=""),"Missing date. ","")&amp;IF(AND('Project Register'!E37&lt;&gt;"",'Project Register'!F37&lt;&gt;"",'Project Register'!F37&lt;'Project Register'!E37),"End before start. ","")&amp;IF(NOT(ISNUMBER('Project Register'!G37)),"Effort missing. ","")&amp;IF(D37=0,"No resource. ","")&amp;IF(AND('Project Register'!H37&lt;&gt;"",'Project Register'!I37=""),"Role 1 missing. ","")&amp;IF(AND('Project Register'!J37&lt;&gt;"",'Project Register'!K37=""),"Role 2 missing. ","")&amp;IF(AND('Project Register'!L37&lt;&gt;"",'Project Register'!M37=""),"Role 3 missing. ","")&amp;IF(OR(AND('Project Register'!H37&lt;&gt;"",'Project Register'!H37='Project Register'!J37),AND('Project Register'!H37&lt;&gt;"",'Project Register'!H37='Project Register'!L37),AND('Project Register'!J37&lt;&gt;"",'Project Register'!J37='Project Register'!L37)),"Same person listed twice. ","")&amp;IF(AND('Project Register'!H37&lt;&gt;"",COUNTIF(Resources!$A$2:$A$51,'Project Register'!H37)=0),"Resource 1 not in Resources sheet. ","")&amp;IF(AND('Project Register'!J37&lt;&gt;"",COUNTIF(Resources!$A$2:$A$51,'Project Register'!J37)=0),"Resource 2 not in Resources sheet. ","")&amp;IF(AND('Project Register'!L37&lt;&gt;"",COUNTIF(Resources!$A$2:$A$51,'Project Register'!L37)=0),"Resource 3 not in Resources sheet. ","")&amp;IF('Project Register'!O37="","Test Status missing. ","")&amp;IF(AND(ISNUMBER(E37),E37&gt;1),"This task alone needs over 100% per person. ","")&amp;IF(AND('Project Register'!Q37="Deployed in Live",'Project Register'!R37=""),"Release Date blank (import date will be used). ","")))</f>
        <v/>
      </c>
      <c r="G37" s="17" t="str">
        <f aca="false">IF('Project Register'!$A37="","",IF(F37="","OK","Check"))</f>
        <v/>
      </c>
    </row>
    <row r="38" customFormat="false" ht="15" hidden="false" customHeight="false" outlineLevel="0" collapsed="false">
      <c r="A38" s="15" t="str">
        <f aca="false">IF('Project Register'!$A38="","",ROW('Project Register'!A38))</f>
        <v/>
      </c>
      <c r="B38" s="15" t="str">
        <f aca="false">IF('Project Register'!$A38="","",'Project Register'!B38)</f>
        <v/>
      </c>
      <c r="C38" s="15" t="str">
        <f aca="false">IF('Project Register'!$A38="","",IF(OR('Project Register'!E38="",'Project Register'!F38=""),"",IF('Project Register'!F38&lt;'Project Register'!E38,0,NETWORKDAYS.INTL('Project Register'!E38,'Project Register'!F38,"0000110",Holidays_Leave!$A$3:$A$62))))</f>
        <v/>
      </c>
      <c r="D38" s="15" t="str">
        <f aca="false">IF('Project Register'!$A38="","",('Project Register'!H38&lt;&gt;"")+('Project Register'!J38&lt;&gt;"")+('Project Register'!L38&lt;&gt;""))</f>
        <v/>
      </c>
      <c r="E38" s="16" t="str">
        <f aca="false">IF(OR(C38="",D38="",'Project Register'!G38=""),"",IF(OR(C38=0,D38=0),"",'Project Register'!G38/(C38*D38)))</f>
        <v/>
      </c>
      <c r="F38" s="15" t="str">
        <f aca="false">IF('Project Register'!$A38="","",TRIM(IF(OR('Project Register'!E38="",'Project Register'!F38=""),"Missing date. ","")&amp;IF(AND('Project Register'!E38&lt;&gt;"",'Project Register'!F38&lt;&gt;"",'Project Register'!F38&lt;'Project Register'!E38),"End before start. ","")&amp;IF(NOT(ISNUMBER('Project Register'!G38)),"Effort missing. ","")&amp;IF(D38=0,"No resource. ","")&amp;IF(AND('Project Register'!H38&lt;&gt;"",'Project Register'!I38=""),"Role 1 missing. ","")&amp;IF(AND('Project Register'!J38&lt;&gt;"",'Project Register'!K38=""),"Role 2 missing. ","")&amp;IF(AND('Project Register'!L38&lt;&gt;"",'Project Register'!M38=""),"Role 3 missing. ","")&amp;IF(OR(AND('Project Register'!H38&lt;&gt;"",'Project Register'!H38='Project Register'!J38),AND('Project Register'!H38&lt;&gt;"",'Project Register'!H38='Project Register'!L38),AND('Project Register'!J38&lt;&gt;"",'Project Register'!J38='Project Register'!L38)),"Same person listed twice. ","")&amp;IF(AND('Project Register'!H38&lt;&gt;"",COUNTIF(Resources!$A$2:$A$51,'Project Register'!H38)=0),"Resource 1 not in Resources sheet. ","")&amp;IF(AND('Project Register'!J38&lt;&gt;"",COUNTIF(Resources!$A$2:$A$51,'Project Register'!J38)=0),"Resource 2 not in Resources sheet. ","")&amp;IF(AND('Project Register'!L38&lt;&gt;"",COUNTIF(Resources!$A$2:$A$51,'Project Register'!L38)=0),"Resource 3 not in Resources sheet. ","")&amp;IF('Project Register'!O38="","Test Status missing. ","")&amp;IF(AND(ISNUMBER(E38),E38&gt;1),"This task alone needs over 100% per person. ","")&amp;IF(AND('Project Register'!Q38="Deployed in Live",'Project Register'!R38=""),"Release Date blank (import date will be used). ","")))</f>
        <v/>
      </c>
      <c r="G38" s="17" t="str">
        <f aca="false">IF('Project Register'!$A38="","",IF(F38="","OK","Check"))</f>
        <v/>
      </c>
    </row>
    <row r="39" customFormat="false" ht="15" hidden="false" customHeight="false" outlineLevel="0" collapsed="false">
      <c r="A39" s="15" t="str">
        <f aca="false">IF('Project Register'!$A39="","",ROW('Project Register'!A39))</f>
        <v/>
      </c>
      <c r="B39" s="15" t="str">
        <f aca="false">IF('Project Register'!$A39="","",'Project Register'!B39)</f>
        <v/>
      </c>
      <c r="C39" s="15" t="str">
        <f aca="false">IF('Project Register'!$A39="","",IF(OR('Project Register'!E39="",'Project Register'!F39=""),"",IF('Project Register'!F39&lt;'Project Register'!E39,0,NETWORKDAYS.INTL('Project Register'!E39,'Project Register'!F39,"0000110",Holidays_Leave!$A$3:$A$62))))</f>
        <v/>
      </c>
      <c r="D39" s="15" t="str">
        <f aca="false">IF('Project Register'!$A39="","",('Project Register'!H39&lt;&gt;"")+('Project Register'!J39&lt;&gt;"")+('Project Register'!L39&lt;&gt;""))</f>
        <v/>
      </c>
      <c r="E39" s="16" t="str">
        <f aca="false">IF(OR(C39="",D39="",'Project Register'!G39=""),"",IF(OR(C39=0,D39=0),"",'Project Register'!G39/(C39*D39)))</f>
        <v/>
      </c>
      <c r="F39" s="15" t="str">
        <f aca="false">IF('Project Register'!$A39="","",TRIM(IF(OR('Project Register'!E39="",'Project Register'!F39=""),"Missing date. ","")&amp;IF(AND('Project Register'!E39&lt;&gt;"",'Project Register'!F39&lt;&gt;"",'Project Register'!F39&lt;'Project Register'!E39),"End before start. ","")&amp;IF(NOT(ISNUMBER('Project Register'!G39)),"Effort missing. ","")&amp;IF(D39=0,"No resource. ","")&amp;IF(AND('Project Register'!H39&lt;&gt;"",'Project Register'!I39=""),"Role 1 missing. ","")&amp;IF(AND('Project Register'!J39&lt;&gt;"",'Project Register'!K39=""),"Role 2 missing. ","")&amp;IF(AND('Project Register'!L39&lt;&gt;"",'Project Register'!M39=""),"Role 3 missing. ","")&amp;IF(OR(AND('Project Register'!H39&lt;&gt;"",'Project Register'!H39='Project Register'!J39),AND('Project Register'!H39&lt;&gt;"",'Project Register'!H39='Project Register'!L39),AND('Project Register'!J39&lt;&gt;"",'Project Register'!J39='Project Register'!L39)),"Same person listed twice. ","")&amp;IF(AND('Project Register'!H39&lt;&gt;"",COUNTIF(Resources!$A$2:$A$51,'Project Register'!H39)=0),"Resource 1 not in Resources sheet. ","")&amp;IF(AND('Project Register'!J39&lt;&gt;"",COUNTIF(Resources!$A$2:$A$51,'Project Register'!J39)=0),"Resource 2 not in Resources sheet. ","")&amp;IF(AND('Project Register'!L39&lt;&gt;"",COUNTIF(Resources!$A$2:$A$51,'Project Register'!L39)=0),"Resource 3 not in Resources sheet. ","")&amp;IF('Project Register'!O39="","Test Status missing. ","")&amp;IF(AND(ISNUMBER(E39),E39&gt;1),"This task alone needs over 100% per person. ","")&amp;IF(AND('Project Register'!Q39="Deployed in Live",'Project Register'!R39=""),"Release Date blank (import date will be used). ","")))</f>
        <v/>
      </c>
      <c r="G39" s="17" t="str">
        <f aca="false">IF('Project Register'!$A39="","",IF(F39="","OK","Check"))</f>
        <v/>
      </c>
    </row>
    <row r="40" customFormat="false" ht="15" hidden="false" customHeight="false" outlineLevel="0" collapsed="false">
      <c r="A40" s="15" t="str">
        <f aca="false">IF('Project Register'!$A40="","",ROW('Project Register'!A40))</f>
        <v/>
      </c>
      <c r="B40" s="15" t="str">
        <f aca="false">IF('Project Register'!$A40="","",'Project Register'!B40)</f>
        <v/>
      </c>
      <c r="C40" s="15" t="str">
        <f aca="false">IF('Project Register'!$A40="","",IF(OR('Project Register'!E40="",'Project Register'!F40=""),"",IF('Project Register'!F40&lt;'Project Register'!E40,0,NETWORKDAYS.INTL('Project Register'!E40,'Project Register'!F40,"0000110",Holidays_Leave!$A$3:$A$62))))</f>
        <v/>
      </c>
      <c r="D40" s="15" t="str">
        <f aca="false">IF('Project Register'!$A40="","",('Project Register'!H40&lt;&gt;"")+('Project Register'!J40&lt;&gt;"")+('Project Register'!L40&lt;&gt;""))</f>
        <v/>
      </c>
      <c r="E40" s="16" t="str">
        <f aca="false">IF(OR(C40="",D40="",'Project Register'!G40=""),"",IF(OR(C40=0,D40=0),"",'Project Register'!G40/(C40*D40)))</f>
        <v/>
      </c>
      <c r="F40" s="15" t="str">
        <f aca="false">IF('Project Register'!$A40="","",TRIM(IF(OR('Project Register'!E40="",'Project Register'!F40=""),"Missing date. ","")&amp;IF(AND('Project Register'!E40&lt;&gt;"",'Project Register'!F40&lt;&gt;"",'Project Register'!F40&lt;'Project Register'!E40),"End before start. ","")&amp;IF(NOT(ISNUMBER('Project Register'!G40)),"Effort missing. ","")&amp;IF(D40=0,"No resource. ","")&amp;IF(AND('Project Register'!H40&lt;&gt;"",'Project Register'!I40=""),"Role 1 missing. ","")&amp;IF(AND('Project Register'!J40&lt;&gt;"",'Project Register'!K40=""),"Role 2 missing. ","")&amp;IF(AND('Project Register'!L40&lt;&gt;"",'Project Register'!M40=""),"Role 3 missing. ","")&amp;IF(OR(AND('Project Register'!H40&lt;&gt;"",'Project Register'!H40='Project Register'!J40),AND('Project Register'!H40&lt;&gt;"",'Project Register'!H40='Project Register'!L40),AND('Project Register'!J40&lt;&gt;"",'Project Register'!J40='Project Register'!L40)),"Same person listed twice. ","")&amp;IF(AND('Project Register'!H40&lt;&gt;"",COUNTIF(Resources!$A$2:$A$51,'Project Register'!H40)=0),"Resource 1 not in Resources sheet. ","")&amp;IF(AND('Project Register'!J40&lt;&gt;"",COUNTIF(Resources!$A$2:$A$51,'Project Register'!J40)=0),"Resource 2 not in Resources sheet. ","")&amp;IF(AND('Project Register'!L40&lt;&gt;"",COUNTIF(Resources!$A$2:$A$51,'Project Register'!L40)=0),"Resource 3 not in Resources sheet. ","")&amp;IF('Project Register'!O40="","Test Status missing. ","")&amp;IF(AND(ISNUMBER(E40),E40&gt;1),"This task alone needs over 100% per person. ","")&amp;IF(AND('Project Register'!Q40="Deployed in Live",'Project Register'!R40=""),"Release Date blank (import date will be used). ","")))</f>
        <v/>
      </c>
      <c r="G40" s="17" t="str">
        <f aca="false">IF('Project Register'!$A40="","",IF(F40="","OK","Check"))</f>
        <v/>
      </c>
    </row>
    <row r="41" customFormat="false" ht="15" hidden="false" customHeight="false" outlineLevel="0" collapsed="false">
      <c r="A41" s="15" t="str">
        <f aca="false">IF('Project Register'!$A41="","",ROW('Project Register'!A41))</f>
        <v/>
      </c>
      <c r="B41" s="15" t="str">
        <f aca="false">IF('Project Register'!$A41="","",'Project Register'!B41)</f>
        <v/>
      </c>
      <c r="C41" s="15" t="str">
        <f aca="false">IF('Project Register'!$A41="","",IF(OR('Project Register'!E41="",'Project Register'!F41=""),"",IF('Project Register'!F41&lt;'Project Register'!E41,0,NETWORKDAYS.INTL('Project Register'!E41,'Project Register'!F41,"0000110",Holidays_Leave!$A$3:$A$62))))</f>
        <v/>
      </c>
      <c r="D41" s="15" t="str">
        <f aca="false">IF('Project Register'!$A41="","",('Project Register'!H41&lt;&gt;"")+('Project Register'!J41&lt;&gt;"")+('Project Register'!L41&lt;&gt;""))</f>
        <v/>
      </c>
      <c r="E41" s="16" t="str">
        <f aca="false">IF(OR(C41="",D41="",'Project Register'!G41=""),"",IF(OR(C41=0,D41=0),"",'Project Register'!G41/(C41*D41)))</f>
        <v/>
      </c>
      <c r="F41" s="15" t="str">
        <f aca="false">IF('Project Register'!$A41="","",TRIM(IF(OR('Project Register'!E41="",'Project Register'!F41=""),"Missing date. ","")&amp;IF(AND('Project Register'!E41&lt;&gt;"",'Project Register'!F41&lt;&gt;"",'Project Register'!F41&lt;'Project Register'!E41),"End before start. ","")&amp;IF(NOT(ISNUMBER('Project Register'!G41)),"Effort missing. ","")&amp;IF(D41=0,"No resource. ","")&amp;IF(AND('Project Register'!H41&lt;&gt;"",'Project Register'!I41=""),"Role 1 missing. ","")&amp;IF(AND('Project Register'!J41&lt;&gt;"",'Project Register'!K41=""),"Role 2 missing. ","")&amp;IF(AND('Project Register'!L41&lt;&gt;"",'Project Register'!M41=""),"Role 3 missing. ","")&amp;IF(OR(AND('Project Register'!H41&lt;&gt;"",'Project Register'!H41='Project Register'!J41),AND('Project Register'!H41&lt;&gt;"",'Project Register'!H41='Project Register'!L41),AND('Project Register'!J41&lt;&gt;"",'Project Register'!J41='Project Register'!L41)),"Same person listed twice. ","")&amp;IF(AND('Project Register'!H41&lt;&gt;"",COUNTIF(Resources!$A$2:$A$51,'Project Register'!H41)=0),"Resource 1 not in Resources sheet. ","")&amp;IF(AND('Project Register'!J41&lt;&gt;"",COUNTIF(Resources!$A$2:$A$51,'Project Register'!J41)=0),"Resource 2 not in Resources sheet. ","")&amp;IF(AND('Project Register'!L41&lt;&gt;"",COUNTIF(Resources!$A$2:$A$51,'Project Register'!L41)=0),"Resource 3 not in Resources sheet. ","")&amp;IF('Project Register'!O41="","Test Status missing. ","")&amp;IF(AND(ISNUMBER(E41),E41&gt;1),"This task alone needs over 100% per person. ","")&amp;IF(AND('Project Register'!Q41="Deployed in Live",'Project Register'!R41=""),"Release Date blank (import date will be used). ","")))</f>
        <v/>
      </c>
      <c r="G41" s="17" t="str">
        <f aca="false">IF('Project Register'!$A41="","",IF(F41="","OK","Check"))</f>
        <v/>
      </c>
    </row>
    <row r="42" customFormat="false" ht="15" hidden="false" customHeight="false" outlineLevel="0" collapsed="false">
      <c r="A42" s="15" t="str">
        <f aca="false">IF('Project Register'!$A42="","",ROW('Project Register'!A42))</f>
        <v/>
      </c>
      <c r="B42" s="15" t="str">
        <f aca="false">IF('Project Register'!$A42="","",'Project Register'!B42)</f>
        <v/>
      </c>
      <c r="C42" s="15" t="str">
        <f aca="false">IF('Project Register'!$A42="","",IF(OR('Project Register'!E42="",'Project Register'!F42=""),"",IF('Project Register'!F42&lt;'Project Register'!E42,0,NETWORKDAYS.INTL('Project Register'!E42,'Project Register'!F42,"0000110",Holidays_Leave!$A$3:$A$62))))</f>
        <v/>
      </c>
      <c r="D42" s="15" t="str">
        <f aca="false">IF('Project Register'!$A42="","",('Project Register'!H42&lt;&gt;"")+('Project Register'!J42&lt;&gt;"")+('Project Register'!L42&lt;&gt;""))</f>
        <v/>
      </c>
      <c r="E42" s="16" t="str">
        <f aca="false">IF(OR(C42="",D42="",'Project Register'!G42=""),"",IF(OR(C42=0,D42=0),"",'Project Register'!G42/(C42*D42)))</f>
        <v/>
      </c>
      <c r="F42" s="15" t="str">
        <f aca="false">IF('Project Register'!$A42="","",TRIM(IF(OR('Project Register'!E42="",'Project Register'!F42=""),"Missing date. ","")&amp;IF(AND('Project Register'!E42&lt;&gt;"",'Project Register'!F42&lt;&gt;"",'Project Register'!F42&lt;'Project Register'!E42),"End before start. ","")&amp;IF(NOT(ISNUMBER('Project Register'!G42)),"Effort missing. ","")&amp;IF(D42=0,"No resource. ","")&amp;IF(AND('Project Register'!H42&lt;&gt;"",'Project Register'!I42=""),"Role 1 missing. ","")&amp;IF(AND('Project Register'!J42&lt;&gt;"",'Project Register'!K42=""),"Role 2 missing. ","")&amp;IF(AND('Project Register'!L42&lt;&gt;"",'Project Register'!M42=""),"Role 3 missing. ","")&amp;IF(OR(AND('Project Register'!H42&lt;&gt;"",'Project Register'!H42='Project Register'!J42),AND('Project Register'!H42&lt;&gt;"",'Project Register'!H42='Project Register'!L42),AND('Project Register'!J42&lt;&gt;"",'Project Register'!J42='Project Register'!L42)),"Same person listed twice. ","")&amp;IF(AND('Project Register'!H42&lt;&gt;"",COUNTIF(Resources!$A$2:$A$51,'Project Register'!H42)=0),"Resource 1 not in Resources sheet. ","")&amp;IF(AND('Project Register'!J42&lt;&gt;"",COUNTIF(Resources!$A$2:$A$51,'Project Register'!J42)=0),"Resource 2 not in Resources sheet. ","")&amp;IF(AND('Project Register'!L42&lt;&gt;"",COUNTIF(Resources!$A$2:$A$51,'Project Register'!L42)=0),"Resource 3 not in Resources sheet. ","")&amp;IF('Project Register'!O42="","Test Status missing. ","")&amp;IF(AND(ISNUMBER(E42),E42&gt;1),"This task alone needs over 100% per person. ","")&amp;IF(AND('Project Register'!Q42="Deployed in Live",'Project Register'!R42=""),"Release Date blank (import date will be used). ","")))</f>
        <v/>
      </c>
      <c r="G42" s="17" t="str">
        <f aca="false">IF('Project Register'!$A42="","",IF(F42="","OK","Check"))</f>
        <v/>
      </c>
    </row>
    <row r="43" customFormat="false" ht="15" hidden="false" customHeight="false" outlineLevel="0" collapsed="false">
      <c r="A43" s="15" t="str">
        <f aca="false">IF('Project Register'!$A43="","",ROW('Project Register'!A43))</f>
        <v/>
      </c>
      <c r="B43" s="15" t="str">
        <f aca="false">IF('Project Register'!$A43="","",'Project Register'!B43)</f>
        <v/>
      </c>
      <c r="C43" s="15" t="str">
        <f aca="false">IF('Project Register'!$A43="","",IF(OR('Project Register'!E43="",'Project Register'!F43=""),"",IF('Project Register'!F43&lt;'Project Register'!E43,0,NETWORKDAYS.INTL('Project Register'!E43,'Project Register'!F43,"0000110",Holidays_Leave!$A$3:$A$62))))</f>
        <v/>
      </c>
      <c r="D43" s="15" t="str">
        <f aca="false">IF('Project Register'!$A43="","",('Project Register'!H43&lt;&gt;"")+('Project Register'!J43&lt;&gt;"")+('Project Register'!L43&lt;&gt;""))</f>
        <v/>
      </c>
      <c r="E43" s="16" t="str">
        <f aca="false">IF(OR(C43="",D43="",'Project Register'!G43=""),"",IF(OR(C43=0,D43=0),"",'Project Register'!G43/(C43*D43)))</f>
        <v/>
      </c>
      <c r="F43" s="15" t="str">
        <f aca="false">IF('Project Register'!$A43="","",TRIM(IF(OR('Project Register'!E43="",'Project Register'!F43=""),"Missing date. ","")&amp;IF(AND('Project Register'!E43&lt;&gt;"",'Project Register'!F43&lt;&gt;"",'Project Register'!F43&lt;'Project Register'!E43),"End before start. ","")&amp;IF(NOT(ISNUMBER('Project Register'!G43)),"Effort missing. ","")&amp;IF(D43=0,"No resource. ","")&amp;IF(AND('Project Register'!H43&lt;&gt;"",'Project Register'!I43=""),"Role 1 missing. ","")&amp;IF(AND('Project Register'!J43&lt;&gt;"",'Project Register'!K43=""),"Role 2 missing. ","")&amp;IF(AND('Project Register'!L43&lt;&gt;"",'Project Register'!M43=""),"Role 3 missing. ","")&amp;IF(OR(AND('Project Register'!H43&lt;&gt;"",'Project Register'!H43='Project Register'!J43),AND('Project Register'!H43&lt;&gt;"",'Project Register'!H43='Project Register'!L43),AND('Project Register'!J43&lt;&gt;"",'Project Register'!J43='Project Register'!L43)),"Same person listed twice. ","")&amp;IF(AND('Project Register'!H43&lt;&gt;"",COUNTIF(Resources!$A$2:$A$51,'Project Register'!H43)=0),"Resource 1 not in Resources sheet. ","")&amp;IF(AND('Project Register'!J43&lt;&gt;"",COUNTIF(Resources!$A$2:$A$51,'Project Register'!J43)=0),"Resource 2 not in Resources sheet. ","")&amp;IF(AND('Project Register'!L43&lt;&gt;"",COUNTIF(Resources!$A$2:$A$51,'Project Register'!L43)=0),"Resource 3 not in Resources sheet. ","")&amp;IF('Project Register'!O43="","Test Status missing. ","")&amp;IF(AND(ISNUMBER(E43),E43&gt;1),"This task alone needs over 100% per person. ","")&amp;IF(AND('Project Register'!Q43="Deployed in Live",'Project Register'!R43=""),"Release Date blank (import date will be used). ","")))</f>
        <v/>
      </c>
      <c r="G43" s="17" t="str">
        <f aca="false">IF('Project Register'!$A43="","",IF(F43="","OK","Check"))</f>
        <v/>
      </c>
    </row>
    <row r="44" customFormat="false" ht="15" hidden="false" customHeight="false" outlineLevel="0" collapsed="false">
      <c r="A44" s="15" t="str">
        <f aca="false">IF('Project Register'!$A44="","",ROW('Project Register'!A44))</f>
        <v/>
      </c>
      <c r="B44" s="15" t="str">
        <f aca="false">IF('Project Register'!$A44="","",'Project Register'!B44)</f>
        <v/>
      </c>
      <c r="C44" s="15" t="str">
        <f aca="false">IF('Project Register'!$A44="","",IF(OR('Project Register'!E44="",'Project Register'!F44=""),"",IF('Project Register'!F44&lt;'Project Register'!E44,0,NETWORKDAYS.INTL('Project Register'!E44,'Project Register'!F44,"0000110",Holidays_Leave!$A$3:$A$62))))</f>
        <v/>
      </c>
      <c r="D44" s="15" t="str">
        <f aca="false">IF('Project Register'!$A44="","",('Project Register'!H44&lt;&gt;"")+('Project Register'!J44&lt;&gt;"")+('Project Register'!L44&lt;&gt;""))</f>
        <v/>
      </c>
      <c r="E44" s="16" t="str">
        <f aca="false">IF(OR(C44="",D44="",'Project Register'!G44=""),"",IF(OR(C44=0,D44=0),"",'Project Register'!G44/(C44*D44)))</f>
        <v/>
      </c>
      <c r="F44" s="15" t="str">
        <f aca="false">IF('Project Register'!$A44="","",TRIM(IF(OR('Project Register'!E44="",'Project Register'!F44=""),"Missing date. ","")&amp;IF(AND('Project Register'!E44&lt;&gt;"",'Project Register'!F44&lt;&gt;"",'Project Register'!F44&lt;'Project Register'!E44),"End before start. ","")&amp;IF(NOT(ISNUMBER('Project Register'!G44)),"Effort missing. ","")&amp;IF(D44=0,"No resource. ","")&amp;IF(AND('Project Register'!H44&lt;&gt;"",'Project Register'!I44=""),"Role 1 missing. ","")&amp;IF(AND('Project Register'!J44&lt;&gt;"",'Project Register'!K44=""),"Role 2 missing. ","")&amp;IF(AND('Project Register'!L44&lt;&gt;"",'Project Register'!M44=""),"Role 3 missing. ","")&amp;IF(OR(AND('Project Register'!H44&lt;&gt;"",'Project Register'!H44='Project Register'!J44),AND('Project Register'!H44&lt;&gt;"",'Project Register'!H44='Project Register'!L44),AND('Project Register'!J44&lt;&gt;"",'Project Register'!J44='Project Register'!L44)),"Same person listed twice. ","")&amp;IF(AND('Project Register'!H44&lt;&gt;"",COUNTIF(Resources!$A$2:$A$51,'Project Register'!H44)=0),"Resource 1 not in Resources sheet. ","")&amp;IF(AND('Project Register'!J44&lt;&gt;"",COUNTIF(Resources!$A$2:$A$51,'Project Register'!J44)=0),"Resource 2 not in Resources sheet. ","")&amp;IF(AND('Project Register'!L44&lt;&gt;"",COUNTIF(Resources!$A$2:$A$51,'Project Register'!L44)=0),"Resource 3 not in Resources sheet. ","")&amp;IF('Project Register'!O44="","Test Status missing. ","")&amp;IF(AND(ISNUMBER(E44),E44&gt;1),"This task alone needs over 100% per person. ","")&amp;IF(AND('Project Register'!Q44="Deployed in Live",'Project Register'!R44=""),"Release Date blank (import date will be used). ","")))</f>
        <v/>
      </c>
      <c r="G44" s="17" t="str">
        <f aca="false">IF('Project Register'!$A44="","",IF(F44="","OK","Check"))</f>
        <v/>
      </c>
    </row>
    <row r="45" customFormat="false" ht="15" hidden="false" customHeight="false" outlineLevel="0" collapsed="false">
      <c r="A45" s="15" t="str">
        <f aca="false">IF('Project Register'!$A45="","",ROW('Project Register'!A45))</f>
        <v/>
      </c>
      <c r="B45" s="15" t="str">
        <f aca="false">IF('Project Register'!$A45="","",'Project Register'!B45)</f>
        <v/>
      </c>
      <c r="C45" s="15" t="str">
        <f aca="false">IF('Project Register'!$A45="","",IF(OR('Project Register'!E45="",'Project Register'!F45=""),"",IF('Project Register'!F45&lt;'Project Register'!E45,0,NETWORKDAYS.INTL('Project Register'!E45,'Project Register'!F45,"0000110",Holidays_Leave!$A$3:$A$62))))</f>
        <v/>
      </c>
      <c r="D45" s="15" t="str">
        <f aca="false">IF('Project Register'!$A45="","",('Project Register'!H45&lt;&gt;"")+('Project Register'!J45&lt;&gt;"")+('Project Register'!L45&lt;&gt;""))</f>
        <v/>
      </c>
      <c r="E45" s="16" t="str">
        <f aca="false">IF(OR(C45="",D45="",'Project Register'!G45=""),"",IF(OR(C45=0,D45=0),"",'Project Register'!G45/(C45*D45)))</f>
        <v/>
      </c>
      <c r="F45" s="15" t="str">
        <f aca="false">IF('Project Register'!$A45="","",TRIM(IF(OR('Project Register'!E45="",'Project Register'!F45=""),"Missing date. ","")&amp;IF(AND('Project Register'!E45&lt;&gt;"",'Project Register'!F45&lt;&gt;"",'Project Register'!F45&lt;'Project Register'!E45),"End before start. ","")&amp;IF(NOT(ISNUMBER('Project Register'!G45)),"Effort missing. ","")&amp;IF(D45=0,"No resource. ","")&amp;IF(AND('Project Register'!H45&lt;&gt;"",'Project Register'!I45=""),"Role 1 missing. ","")&amp;IF(AND('Project Register'!J45&lt;&gt;"",'Project Register'!K45=""),"Role 2 missing. ","")&amp;IF(AND('Project Register'!L45&lt;&gt;"",'Project Register'!M45=""),"Role 3 missing. ","")&amp;IF(OR(AND('Project Register'!H45&lt;&gt;"",'Project Register'!H45='Project Register'!J45),AND('Project Register'!H45&lt;&gt;"",'Project Register'!H45='Project Register'!L45),AND('Project Register'!J45&lt;&gt;"",'Project Register'!J45='Project Register'!L45)),"Same person listed twice. ","")&amp;IF(AND('Project Register'!H45&lt;&gt;"",COUNTIF(Resources!$A$2:$A$51,'Project Register'!H45)=0),"Resource 1 not in Resources sheet. ","")&amp;IF(AND('Project Register'!J45&lt;&gt;"",COUNTIF(Resources!$A$2:$A$51,'Project Register'!J45)=0),"Resource 2 not in Resources sheet. ","")&amp;IF(AND('Project Register'!L45&lt;&gt;"",COUNTIF(Resources!$A$2:$A$51,'Project Register'!L45)=0),"Resource 3 not in Resources sheet. ","")&amp;IF('Project Register'!O45="","Test Status missing. ","")&amp;IF(AND(ISNUMBER(E45),E45&gt;1),"This task alone needs over 100% per person. ","")&amp;IF(AND('Project Register'!Q45="Deployed in Live",'Project Register'!R45=""),"Release Date blank (import date will be used). ","")))</f>
        <v/>
      </c>
      <c r="G45" s="17" t="str">
        <f aca="false">IF('Project Register'!$A45="","",IF(F45="","OK","Check"))</f>
        <v/>
      </c>
    </row>
    <row r="46" customFormat="false" ht="15" hidden="false" customHeight="false" outlineLevel="0" collapsed="false">
      <c r="A46" s="15" t="str">
        <f aca="false">IF('Project Register'!$A46="","",ROW('Project Register'!A46))</f>
        <v/>
      </c>
      <c r="B46" s="15" t="str">
        <f aca="false">IF('Project Register'!$A46="","",'Project Register'!B46)</f>
        <v/>
      </c>
      <c r="C46" s="15" t="str">
        <f aca="false">IF('Project Register'!$A46="","",IF(OR('Project Register'!E46="",'Project Register'!F46=""),"",IF('Project Register'!F46&lt;'Project Register'!E46,0,NETWORKDAYS.INTL('Project Register'!E46,'Project Register'!F46,"0000110",Holidays_Leave!$A$3:$A$62))))</f>
        <v/>
      </c>
      <c r="D46" s="15" t="str">
        <f aca="false">IF('Project Register'!$A46="","",('Project Register'!H46&lt;&gt;"")+('Project Register'!J46&lt;&gt;"")+('Project Register'!L46&lt;&gt;""))</f>
        <v/>
      </c>
      <c r="E46" s="16" t="str">
        <f aca="false">IF(OR(C46="",D46="",'Project Register'!G46=""),"",IF(OR(C46=0,D46=0),"",'Project Register'!G46/(C46*D46)))</f>
        <v/>
      </c>
      <c r="F46" s="15" t="str">
        <f aca="false">IF('Project Register'!$A46="","",TRIM(IF(OR('Project Register'!E46="",'Project Register'!F46=""),"Missing date. ","")&amp;IF(AND('Project Register'!E46&lt;&gt;"",'Project Register'!F46&lt;&gt;"",'Project Register'!F46&lt;'Project Register'!E46),"End before start. ","")&amp;IF(NOT(ISNUMBER('Project Register'!G46)),"Effort missing. ","")&amp;IF(D46=0,"No resource. ","")&amp;IF(AND('Project Register'!H46&lt;&gt;"",'Project Register'!I46=""),"Role 1 missing. ","")&amp;IF(AND('Project Register'!J46&lt;&gt;"",'Project Register'!K46=""),"Role 2 missing. ","")&amp;IF(AND('Project Register'!L46&lt;&gt;"",'Project Register'!M46=""),"Role 3 missing. ","")&amp;IF(OR(AND('Project Register'!H46&lt;&gt;"",'Project Register'!H46='Project Register'!J46),AND('Project Register'!H46&lt;&gt;"",'Project Register'!H46='Project Register'!L46),AND('Project Register'!J46&lt;&gt;"",'Project Register'!J46='Project Register'!L46)),"Same person listed twice. ","")&amp;IF(AND('Project Register'!H46&lt;&gt;"",COUNTIF(Resources!$A$2:$A$51,'Project Register'!H46)=0),"Resource 1 not in Resources sheet. ","")&amp;IF(AND('Project Register'!J46&lt;&gt;"",COUNTIF(Resources!$A$2:$A$51,'Project Register'!J46)=0),"Resource 2 not in Resources sheet. ","")&amp;IF(AND('Project Register'!L46&lt;&gt;"",COUNTIF(Resources!$A$2:$A$51,'Project Register'!L46)=0),"Resource 3 not in Resources sheet. ","")&amp;IF('Project Register'!O46="","Test Status missing. ","")&amp;IF(AND(ISNUMBER(E46),E46&gt;1),"This task alone needs over 100% per person. ","")&amp;IF(AND('Project Register'!Q46="Deployed in Live",'Project Register'!R46=""),"Release Date blank (import date will be used). ","")))</f>
        <v/>
      </c>
      <c r="G46" s="17" t="str">
        <f aca="false">IF('Project Register'!$A46="","",IF(F46="","OK","Check"))</f>
        <v/>
      </c>
    </row>
    <row r="47" customFormat="false" ht="15" hidden="false" customHeight="false" outlineLevel="0" collapsed="false">
      <c r="A47" s="15" t="str">
        <f aca="false">IF('Project Register'!$A47="","",ROW('Project Register'!A47))</f>
        <v/>
      </c>
      <c r="B47" s="15" t="str">
        <f aca="false">IF('Project Register'!$A47="","",'Project Register'!B47)</f>
        <v/>
      </c>
      <c r="C47" s="15" t="str">
        <f aca="false">IF('Project Register'!$A47="","",IF(OR('Project Register'!E47="",'Project Register'!F47=""),"",IF('Project Register'!F47&lt;'Project Register'!E47,0,NETWORKDAYS.INTL('Project Register'!E47,'Project Register'!F47,"0000110",Holidays_Leave!$A$3:$A$62))))</f>
        <v/>
      </c>
      <c r="D47" s="15" t="str">
        <f aca="false">IF('Project Register'!$A47="","",('Project Register'!H47&lt;&gt;"")+('Project Register'!J47&lt;&gt;"")+('Project Register'!L47&lt;&gt;""))</f>
        <v/>
      </c>
      <c r="E47" s="16" t="str">
        <f aca="false">IF(OR(C47="",D47="",'Project Register'!G47=""),"",IF(OR(C47=0,D47=0),"",'Project Register'!G47/(C47*D47)))</f>
        <v/>
      </c>
      <c r="F47" s="15" t="str">
        <f aca="false">IF('Project Register'!$A47="","",TRIM(IF(OR('Project Register'!E47="",'Project Register'!F47=""),"Missing date. ","")&amp;IF(AND('Project Register'!E47&lt;&gt;"",'Project Register'!F47&lt;&gt;"",'Project Register'!F47&lt;'Project Register'!E47),"End before start. ","")&amp;IF(NOT(ISNUMBER('Project Register'!G47)),"Effort missing. ","")&amp;IF(D47=0,"No resource. ","")&amp;IF(AND('Project Register'!H47&lt;&gt;"",'Project Register'!I47=""),"Role 1 missing. ","")&amp;IF(AND('Project Register'!J47&lt;&gt;"",'Project Register'!K47=""),"Role 2 missing. ","")&amp;IF(AND('Project Register'!L47&lt;&gt;"",'Project Register'!M47=""),"Role 3 missing. ","")&amp;IF(OR(AND('Project Register'!H47&lt;&gt;"",'Project Register'!H47='Project Register'!J47),AND('Project Register'!H47&lt;&gt;"",'Project Register'!H47='Project Register'!L47),AND('Project Register'!J47&lt;&gt;"",'Project Register'!J47='Project Register'!L47)),"Same person listed twice. ","")&amp;IF(AND('Project Register'!H47&lt;&gt;"",COUNTIF(Resources!$A$2:$A$51,'Project Register'!H47)=0),"Resource 1 not in Resources sheet. ","")&amp;IF(AND('Project Register'!J47&lt;&gt;"",COUNTIF(Resources!$A$2:$A$51,'Project Register'!J47)=0),"Resource 2 not in Resources sheet. ","")&amp;IF(AND('Project Register'!L47&lt;&gt;"",COUNTIF(Resources!$A$2:$A$51,'Project Register'!L47)=0),"Resource 3 not in Resources sheet. ","")&amp;IF('Project Register'!O47="","Test Status missing. ","")&amp;IF(AND(ISNUMBER(E47),E47&gt;1),"This task alone needs over 100% per person. ","")&amp;IF(AND('Project Register'!Q47="Deployed in Live",'Project Register'!R47=""),"Release Date blank (import date will be used). ","")))</f>
        <v/>
      </c>
      <c r="G47" s="17" t="str">
        <f aca="false">IF('Project Register'!$A47="","",IF(F47="","OK","Check"))</f>
        <v/>
      </c>
    </row>
    <row r="48" customFormat="false" ht="15" hidden="false" customHeight="false" outlineLevel="0" collapsed="false">
      <c r="A48" s="15" t="str">
        <f aca="false">IF('Project Register'!$A48="","",ROW('Project Register'!A48))</f>
        <v/>
      </c>
      <c r="B48" s="15" t="str">
        <f aca="false">IF('Project Register'!$A48="","",'Project Register'!B48)</f>
        <v/>
      </c>
      <c r="C48" s="15" t="str">
        <f aca="false">IF('Project Register'!$A48="","",IF(OR('Project Register'!E48="",'Project Register'!F48=""),"",IF('Project Register'!F48&lt;'Project Register'!E48,0,NETWORKDAYS.INTL('Project Register'!E48,'Project Register'!F48,"0000110",Holidays_Leave!$A$3:$A$62))))</f>
        <v/>
      </c>
      <c r="D48" s="15" t="str">
        <f aca="false">IF('Project Register'!$A48="","",('Project Register'!H48&lt;&gt;"")+('Project Register'!J48&lt;&gt;"")+('Project Register'!L48&lt;&gt;""))</f>
        <v/>
      </c>
      <c r="E48" s="16" t="str">
        <f aca="false">IF(OR(C48="",D48="",'Project Register'!G48=""),"",IF(OR(C48=0,D48=0),"",'Project Register'!G48/(C48*D48)))</f>
        <v/>
      </c>
      <c r="F48" s="15" t="str">
        <f aca="false">IF('Project Register'!$A48="","",TRIM(IF(OR('Project Register'!E48="",'Project Register'!F48=""),"Missing date. ","")&amp;IF(AND('Project Register'!E48&lt;&gt;"",'Project Register'!F48&lt;&gt;"",'Project Register'!F48&lt;'Project Register'!E48),"End before start. ","")&amp;IF(NOT(ISNUMBER('Project Register'!G48)),"Effort missing. ","")&amp;IF(D48=0,"No resource. ","")&amp;IF(AND('Project Register'!H48&lt;&gt;"",'Project Register'!I48=""),"Role 1 missing. ","")&amp;IF(AND('Project Register'!J48&lt;&gt;"",'Project Register'!K48=""),"Role 2 missing. ","")&amp;IF(AND('Project Register'!L48&lt;&gt;"",'Project Register'!M48=""),"Role 3 missing. ","")&amp;IF(OR(AND('Project Register'!H48&lt;&gt;"",'Project Register'!H48='Project Register'!J48),AND('Project Register'!H48&lt;&gt;"",'Project Register'!H48='Project Register'!L48),AND('Project Register'!J48&lt;&gt;"",'Project Register'!J48='Project Register'!L48)),"Same person listed twice. ","")&amp;IF(AND('Project Register'!H48&lt;&gt;"",COUNTIF(Resources!$A$2:$A$51,'Project Register'!H48)=0),"Resource 1 not in Resources sheet. ","")&amp;IF(AND('Project Register'!J48&lt;&gt;"",COUNTIF(Resources!$A$2:$A$51,'Project Register'!J48)=0),"Resource 2 not in Resources sheet. ","")&amp;IF(AND('Project Register'!L48&lt;&gt;"",COUNTIF(Resources!$A$2:$A$51,'Project Register'!L48)=0),"Resource 3 not in Resources sheet. ","")&amp;IF('Project Register'!O48="","Test Status missing. ","")&amp;IF(AND(ISNUMBER(E48),E48&gt;1),"This task alone needs over 100% per person. ","")&amp;IF(AND('Project Register'!Q48="Deployed in Live",'Project Register'!R48=""),"Release Date blank (import date will be used). ","")))</f>
        <v/>
      </c>
      <c r="G48" s="17" t="str">
        <f aca="false">IF('Project Register'!$A48="","",IF(F48="","OK","Check"))</f>
        <v/>
      </c>
    </row>
    <row r="49" customFormat="false" ht="15" hidden="false" customHeight="false" outlineLevel="0" collapsed="false">
      <c r="A49" s="15" t="str">
        <f aca="false">IF('Project Register'!$A49="","",ROW('Project Register'!A49))</f>
        <v/>
      </c>
      <c r="B49" s="15" t="str">
        <f aca="false">IF('Project Register'!$A49="","",'Project Register'!B49)</f>
        <v/>
      </c>
      <c r="C49" s="15" t="str">
        <f aca="false">IF('Project Register'!$A49="","",IF(OR('Project Register'!E49="",'Project Register'!F49=""),"",IF('Project Register'!F49&lt;'Project Register'!E49,0,NETWORKDAYS.INTL('Project Register'!E49,'Project Register'!F49,"0000110",Holidays_Leave!$A$3:$A$62))))</f>
        <v/>
      </c>
      <c r="D49" s="15" t="str">
        <f aca="false">IF('Project Register'!$A49="","",('Project Register'!H49&lt;&gt;"")+('Project Register'!J49&lt;&gt;"")+('Project Register'!L49&lt;&gt;""))</f>
        <v/>
      </c>
      <c r="E49" s="16" t="str">
        <f aca="false">IF(OR(C49="",D49="",'Project Register'!G49=""),"",IF(OR(C49=0,D49=0),"",'Project Register'!G49/(C49*D49)))</f>
        <v/>
      </c>
      <c r="F49" s="15" t="str">
        <f aca="false">IF('Project Register'!$A49="","",TRIM(IF(OR('Project Register'!E49="",'Project Register'!F49=""),"Missing date. ","")&amp;IF(AND('Project Register'!E49&lt;&gt;"",'Project Register'!F49&lt;&gt;"",'Project Register'!F49&lt;'Project Register'!E49),"End before start. ","")&amp;IF(NOT(ISNUMBER('Project Register'!G49)),"Effort missing. ","")&amp;IF(D49=0,"No resource. ","")&amp;IF(AND('Project Register'!H49&lt;&gt;"",'Project Register'!I49=""),"Role 1 missing. ","")&amp;IF(AND('Project Register'!J49&lt;&gt;"",'Project Register'!K49=""),"Role 2 missing. ","")&amp;IF(AND('Project Register'!L49&lt;&gt;"",'Project Register'!M49=""),"Role 3 missing. ","")&amp;IF(OR(AND('Project Register'!H49&lt;&gt;"",'Project Register'!H49='Project Register'!J49),AND('Project Register'!H49&lt;&gt;"",'Project Register'!H49='Project Register'!L49),AND('Project Register'!J49&lt;&gt;"",'Project Register'!J49='Project Register'!L49)),"Same person listed twice. ","")&amp;IF(AND('Project Register'!H49&lt;&gt;"",COUNTIF(Resources!$A$2:$A$51,'Project Register'!H49)=0),"Resource 1 not in Resources sheet. ","")&amp;IF(AND('Project Register'!J49&lt;&gt;"",COUNTIF(Resources!$A$2:$A$51,'Project Register'!J49)=0),"Resource 2 not in Resources sheet. ","")&amp;IF(AND('Project Register'!L49&lt;&gt;"",COUNTIF(Resources!$A$2:$A$51,'Project Register'!L49)=0),"Resource 3 not in Resources sheet. ","")&amp;IF('Project Register'!O49="","Test Status missing. ","")&amp;IF(AND(ISNUMBER(E49),E49&gt;1),"This task alone needs over 100% per person. ","")&amp;IF(AND('Project Register'!Q49="Deployed in Live",'Project Register'!R49=""),"Release Date blank (import date will be used). ","")))</f>
        <v/>
      </c>
      <c r="G49" s="17" t="str">
        <f aca="false">IF('Project Register'!$A49="","",IF(F49="","OK","Check"))</f>
        <v/>
      </c>
    </row>
    <row r="50" customFormat="false" ht="15" hidden="false" customHeight="false" outlineLevel="0" collapsed="false">
      <c r="A50" s="15" t="str">
        <f aca="false">IF('Project Register'!$A50="","",ROW('Project Register'!A50))</f>
        <v/>
      </c>
      <c r="B50" s="15" t="str">
        <f aca="false">IF('Project Register'!$A50="","",'Project Register'!B50)</f>
        <v/>
      </c>
      <c r="C50" s="15" t="str">
        <f aca="false">IF('Project Register'!$A50="","",IF(OR('Project Register'!E50="",'Project Register'!F50=""),"",IF('Project Register'!F50&lt;'Project Register'!E50,0,NETWORKDAYS.INTL('Project Register'!E50,'Project Register'!F50,"0000110",Holidays_Leave!$A$3:$A$62))))</f>
        <v/>
      </c>
      <c r="D50" s="15" t="str">
        <f aca="false">IF('Project Register'!$A50="","",('Project Register'!H50&lt;&gt;"")+('Project Register'!J50&lt;&gt;"")+('Project Register'!L50&lt;&gt;""))</f>
        <v/>
      </c>
      <c r="E50" s="16" t="str">
        <f aca="false">IF(OR(C50="",D50="",'Project Register'!G50=""),"",IF(OR(C50=0,D50=0),"",'Project Register'!G50/(C50*D50)))</f>
        <v/>
      </c>
      <c r="F50" s="15" t="str">
        <f aca="false">IF('Project Register'!$A50="","",TRIM(IF(OR('Project Register'!E50="",'Project Register'!F50=""),"Missing date. ","")&amp;IF(AND('Project Register'!E50&lt;&gt;"",'Project Register'!F50&lt;&gt;"",'Project Register'!F50&lt;'Project Register'!E50),"End before start. ","")&amp;IF(NOT(ISNUMBER('Project Register'!G50)),"Effort missing. ","")&amp;IF(D50=0,"No resource. ","")&amp;IF(AND('Project Register'!H50&lt;&gt;"",'Project Register'!I50=""),"Role 1 missing. ","")&amp;IF(AND('Project Register'!J50&lt;&gt;"",'Project Register'!K50=""),"Role 2 missing. ","")&amp;IF(AND('Project Register'!L50&lt;&gt;"",'Project Register'!M50=""),"Role 3 missing. ","")&amp;IF(OR(AND('Project Register'!H50&lt;&gt;"",'Project Register'!H50='Project Register'!J50),AND('Project Register'!H50&lt;&gt;"",'Project Register'!H50='Project Register'!L50),AND('Project Register'!J50&lt;&gt;"",'Project Register'!J50='Project Register'!L50)),"Same person listed twice. ","")&amp;IF(AND('Project Register'!H50&lt;&gt;"",COUNTIF(Resources!$A$2:$A$51,'Project Register'!H50)=0),"Resource 1 not in Resources sheet. ","")&amp;IF(AND('Project Register'!J50&lt;&gt;"",COUNTIF(Resources!$A$2:$A$51,'Project Register'!J50)=0),"Resource 2 not in Resources sheet. ","")&amp;IF(AND('Project Register'!L50&lt;&gt;"",COUNTIF(Resources!$A$2:$A$51,'Project Register'!L50)=0),"Resource 3 not in Resources sheet. ","")&amp;IF('Project Register'!O50="","Test Status missing. ","")&amp;IF(AND(ISNUMBER(E50),E50&gt;1),"This task alone needs over 100% per person. ","")&amp;IF(AND('Project Register'!Q50="Deployed in Live",'Project Register'!R50=""),"Release Date blank (import date will be used). ","")))</f>
        <v/>
      </c>
      <c r="G50" s="17" t="str">
        <f aca="false">IF('Project Register'!$A50="","",IF(F50="","OK","Check"))</f>
        <v/>
      </c>
    </row>
    <row r="51" customFormat="false" ht="15" hidden="false" customHeight="false" outlineLevel="0" collapsed="false">
      <c r="A51" s="15" t="str">
        <f aca="false">IF('Project Register'!$A51="","",ROW('Project Register'!A51))</f>
        <v/>
      </c>
      <c r="B51" s="15" t="str">
        <f aca="false">IF('Project Register'!$A51="","",'Project Register'!B51)</f>
        <v/>
      </c>
      <c r="C51" s="15" t="str">
        <f aca="false">IF('Project Register'!$A51="","",IF(OR('Project Register'!E51="",'Project Register'!F51=""),"",IF('Project Register'!F51&lt;'Project Register'!E51,0,NETWORKDAYS.INTL('Project Register'!E51,'Project Register'!F51,"0000110",Holidays_Leave!$A$3:$A$62))))</f>
        <v/>
      </c>
      <c r="D51" s="15" t="str">
        <f aca="false">IF('Project Register'!$A51="","",('Project Register'!H51&lt;&gt;"")+('Project Register'!J51&lt;&gt;"")+('Project Register'!L51&lt;&gt;""))</f>
        <v/>
      </c>
      <c r="E51" s="16" t="str">
        <f aca="false">IF(OR(C51="",D51="",'Project Register'!G51=""),"",IF(OR(C51=0,D51=0),"",'Project Register'!G51/(C51*D51)))</f>
        <v/>
      </c>
      <c r="F51" s="15" t="str">
        <f aca="false">IF('Project Register'!$A51="","",TRIM(IF(OR('Project Register'!E51="",'Project Register'!F51=""),"Missing date. ","")&amp;IF(AND('Project Register'!E51&lt;&gt;"",'Project Register'!F51&lt;&gt;"",'Project Register'!F51&lt;'Project Register'!E51),"End before start. ","")&amp;IF(NOT(ISNUMBER('Project Register'!G51)),"Effort missing. ","")&amp;IF(D51=0,"No resource. ","")&amp;IF(AND('Project Register'!H51&lt;&gt;"",'Project Register'!I51=""),"Role 1 missing. ","")&amp;IF(AND('Project Register'!J51&lt;&gt;"",'Project Register'!K51=""),"Role 2 missing. ","")&amp;IF(AND('Project Register'!L51&lt;&gt;"",'Project Register'!M51=""),"Role 3 missing. ","")&amp;IF(OR(AND('Project Register'!H51&lt;&gt;"",'Project Register'!H51='Project Register'!J51),AND('Project Register'!H51&lt;&gt;"",'Project Register'!H51='Project Register'!L51),AND('Project Register'!J51&lt;&gt;"",'Project Register'!J51='Project Register'!L51)),"Same person listed twice. ","")&amp;IF(AND('Project Register'!H51&lt;&gt;"",COUNTIF(Resources!$A$2:$A$51,'Project Register'!H51)=0),"Resource 1 not in Resources sheet. ","")&amp;IF(AND('Project Register'!J51&lt;&gt;"",COUNTIF(Resources!$A$2:$A$51,'Project Register'!J51)=0),"Resource 2 not in Resources sheet. ","")&amp;IF(AND('Project Register'!L51&lt;&gt;"",COUNTIF(Resources!$A$2:$A$51,'Project Register'!L51)=0),"Resource 3 not in Resources sheet. ","")&amp;IF('Project Register'!O51="","Test Status missing. ","")&amp;IF(AND(ISNUMBER(E51),E51&gt;1),"This task alone needs over 100% per person. ","")&amp;IF(AND('Project Register'!Q51="Deployed in Live",'Project Register'!R51=""),"Release Date blank (import date will be used). ","")))</f>
        <v/>
      </c>
      <c r="G51" s="17" t="str">
        <f aca="false">IF('Project Register'!$A51="","",IF(F51="","OK","Check"))</f>
        <v/>
      </c>
    </row>
    <row r="52" customFormat="false" ht="15" hidden="false" customHeight="false" outlineLevel="0" collapsed="false">
      <c r="A52" s="15" t="str">
        <f aca="false">IF('Project Register'!$A52="","",ROW('Project Register'!A52))</f>
        <v/>
      </c>
      <c r="B52" s="15" t="str">
        <f aca="false">IF('Project Register'!$A52="","",'Project Register'!B52)</f>
        <v/>
      </c>
      <c r="C52" s="15" t="str">
        <f aca="false">IF('Project Register'!$A52="","",IF(OR('Project Register'!E52="",'Project Register'!F52=""),"",IF('Project Register'!F52&lt;'Project Register'!E52,0,NETWORKDAYS.INTL('Project Register'!E52,'Project Register'!F52,"0000110",Holidays_Leave!$A$3:$A$62))))</f>
        <v/>
      </c>
      <c r="D52" s="15" t="str">
        <f aca="false">IF('Project Register'!$A52="","",('Project Register'!H52&lt;&gt;"")+('Project Register'!J52&lt;&gt;"")+('Project Register'!L52&lt;&gt;""))</f>
        <v/>
      </c>
      <c r="E52" s="16" t="str">
        <f aca="false">IF(OR(C52="",D52="",'Project Register'!G52=""),"",IF(OR(C52=0,D52=0),"",'Project Register'!G52/(C52*D52)))</f>
        <v/>
      </c>
      <c r="F52" s="15" t="str">
        <f aca="false">IF('Project Register'!$A52="","",TRIM(IF(OR('Project Register'!E52="",'Project Register'!F52=""),"Missing date. ","")&amp;IF(AND('Project Register'!E52&lt;&gt;"",'Project Register'!F52&lt;&gt;"",'Project Register'!F52&lt;'Project Register'!E52),"End before start. ","")&amp;IF(NOT(ISNUMBER('Project Register'!G52)),"Effort missing. ","")&amp;IF(D52=0,"No resource. ","")&amp;IF(AND('Project Register'!H52&lt;&gt;"",'Project Register'!I52=""),"Role 1 missing. ","")&amp;IF(AND('Project Register'!J52&lt;&gt;"",'Project Register'!K52=""),"Role 2 missing. ","")&amp;IF(AND('Project Register'!L52&lt;&gt;"",'Project Register'!M52=""),"Role 3 missing. ","")&amp;IF(OR(AND('Project Register'!H52&lt;&gt;"",'Project Register'!H52='Project Register'!J52),AND('Project Register'!H52&lt;&gt;"",'Project Register'!H52='Project Register'!L52),AND('Project Register'!J52&lt;&gt;"",'Project Register'!J52='Project Register'!L52)),"Same person listed twice. ","")&amp;IF(AND('Project Register'!H52&lt;&gt;"",COUNTIF(Resources!$A$2:$A$51,'Project Register'!H52)=0),"Resource 1 not in Resources sheet. ","")&amp;IF(AND('Project Register'!J52&lt;&gt;"",COUNTIF(Resources!$A$2:$A$51,'Project Register'!J52)=0),"Resource 2 not in Resources sheet. ","")&amp;IF(AND('Project Register'!L52&lt;&gt;"",COUNTIF(Resources!$A$2:$A$51,'Project Register'!L52)=0),"Resource 3 not in Resources sheet. ","")&amp;IF('Project Register'!O52="","Test Status missing. ","")&amp;IF(AND(ISNUMBER(E52),E52&gt;1),"This task alone needs over 100% per person. ","")&amp;IF(AND('Project Register'!Q52="Deployed in Live",'Project Register'!R52=""),"Release Date blank (import date will be used). ","")))</f>
        <v/>
      </c>
      <c r="G52" s="17" t="str">
        <f aca="false">IF('Project Register'!$A52="","",IF(F52="","OK","Check"))</f>
        <v/>
      </c>
    </row>
    <row r="53" customFormat="false" ht="15" hidden="false" customHeight="false" outlineLevel="0" collapsed="false">
      <c r="A53" s="15" t="str">
        <f aca="false">IF('Project Register'!$A53="","",ROW('Project Register'!A53))</f>
        <v/>
      </c>
      <c r="B53" s="15" t="str">
        <f aca="false">IF('Project Register'!$A53="","",'Project Register'!B53)</f>
        <v/>
      </c>
      <c r="C53" s="15" t="str">
        <f aca="false">IF('Project Register'!$A53="","",IF(OR('Project Register'!E53="",'Project Register'!F53=""),"",IF('Project Register'!F53&lt;'Project Register'!E53,0,NETWORKDAYS.INTL('Project Register'!E53,'Project Register'!F53,"0000110",Holidays_Leave!$A$3:$A$62))))</f>
        <v/>
      </c>
      <c r="D53" s="15" t="str">
        <f aca="false">IF('Project Register'!$A53="","",('Project Register'!H53&lt;&gt;"")+('Project Register'!J53&lt;&gt;"")+('Project Register'!L53&lt;&gt;""))</f>
        <v/>
      </c>
      <c r="E53" s="16" t="str">
        <f aca="false">IF(OR(C53="",D53="",'Project Register'!G53=""),"",IF(OR(C53=0,D53=0),"",'Project Register'!G53/(C53*D53)))</f>
        <v/>
      </c>
      <c r="F53" s="15" t="str">
        <f aca="false">IF('Project Register'!$A53="","",TRIM(IF(OR('Project Register'!E53="",'Project Register'!F53=""),"Missing date. ","")&amp;IF(AND('Project Register'!E53&lt;&gt;"",'Project Register'!F53&lt;&gt;"",'Project Register'!F53&lt;'Project Register'!E53),"End before start. ","")&amp;IF(NOT(ISNUMBER('Project Register'!G53)),"Effort missing. ","")&amp;IF(D53=0,"No resource. ","")&amp;IF(AND('Project Register'!H53&lt;&gt;"",'Project Register'!I53=""),"Role 1 missing. ","")&amp;IF(AND('Project Register'!J53&lt;&gt;"",'Project Register'!K53=""),"Role 2 missing. ","")&amp;IF(AND('Project Register'!L53&lt;&gt;"",'Project Register'!M53=""),"Role 3 missing. ","")&amp;IF(OR(AND('Project Register'!H53&lt;&gt;"",'Project Register'!H53='Project Register'!J53),AND('Project Register'!H53&lt;&gt;"",'Project Register'!H53='Project Register'!L53),AND('Project Register'!J53&lt;&gt;"",'Project Register'!J53='Project Register'!L53)),"Same person listed twice. ","")&amp;IF(AND('Project Register'!H53&lt;&gt;"",COUNTIF(Resources!$A$2:$A$51,'Project Register'!H53)=0),"Resource 1 not in Resources sheet. ","")&amp;IF(AND('Project Register'!J53&lt;&gt;"",COUNTIF(Resources!$A$2:$A$51,'Project Register'!J53)=0),"Resource 2 not in Resources sheet. ","")&amp;IF(AND('Project Register'!L53&lt;&gt;"",COUNTIF(Resources!$A$2:$A$51,'Project Register'!L53)=0),"Resource 3 not in Resources sheet. ","")&amp;IF('Project Register'!O53="","Test Status missing. ","")&amp;IF(AND(ISNUMBER(E53),E53&gt;1),"This task alone needs over 100% per person. ","")&amp;IF(AND('Project Register'!Q53="Deployed in Live",'Project Register'!R53=""),"Release Date blank (import date will be used). ","")))</f>
        <v/>
      </c>
      <c r="G53" s="17" t="str">
        <f aca="false">IF('Project Register'!$A53="","",IF(F53="","OK","Check"))</f>
        <v/>
      </c>
    </row>
    <row r="54" customFormat="false" ht="15" hidden="false" customHeight="false" outlineLevel="0" collapsed="false">
      <c r="A54" s="15" t="str">
        <f aca="false">IF('Project Register'!$A54="","",ROW('Project Register'!A54))</f>
        <v/>
      </c>
      <c r="B54" s="15" t="str">
        <f aca="false">IF('Project Register'!$A54="","",'Project Register'!B54)</f>
        <v/>
      </c>
      <c r="C54" s="15" t="str">
        <f aca="false">IF('Project Register'!$A54="","",IF(OR('Project Register'!E54="",'Project Register'!F54=""),"",IF('Project Register'!F54&lt;'Project Register'!E54,0,NETWORKDAYS.INTL('Project Register'!E54,'Project Register'!F54,"0000110",Holidays_Leave!$A$3:$A$62))))</f>
        <v/>
      </c>
      <c r="D54" s="15" t="str">
        <f aca="false">IF('Project Register'!$A54="","",('Project Register'!H54&lt;&gt;"")+('Project Register'!J54&lt;&gt;"")+('Project Register'!L54&lt;&gt;""))</f>
        <v/>
      </c>
      <c r="E54" s="16" t="str">
        <f aca="false">IF(OR(C54="",D54="",'Project Register'!G54=""),"",IF(OR(C54=0,D54=0),"",'Project Register'!G54/(C54*D54)))</f>
        <v/>
      </c>
      <c r="F54" s="15" t="str">
        <f aca="false">IF('Project Register'!$A54="","",TRIM(IF(OR('Project Register'!E54="",'Project Register'!F54=""),"Missing date. ","")&amp;IF(AND('Project Register'!E54&lt;&gt;"",'Project Register'!F54&lt;&gt;"",'Project Register'!F54&lt;'Project Register'!E54),"End before start. ","")&amp;IF(NOT(ISNUMBER('Project Register'!G54)),"Effort missing. ","")&amp;IF(D54=0,"No resource. ","")&amp;IF(AND('Project Register'!H54&lt;&gt;"",'Project Register'!I54=""),"Role 1 missing. ","")&amp;IF(AND('Project Register'!J54&lt;&gt;"",'Project Register'!K54=""),"Role 2 missing. ","")&amp;IF(AND('Project Register'!L54&lt;&gt;"",'Project Register'!M54=""),"Role 3 missing. ","")&amp;IF(OR(AND('Project Register'!H54&lt;&gt;"",'Project Register'!H54='Project Register'!J54),AND('Project Register'!H54&lt;&gt;"",'Project Register'!H54='Project Register'!L54),AND('Project Register'!J54&lt;&gt;"",'Project Register'!J54='Project Register'!L54)),"Same person listed twice. ","")&amp;IF(AND('Project Register'!H54&lt;&gt;"",COUNTIF(Resources!$A$2:$A$51,'Project Register'!H54)=0),"Resource 1 not in Resources sheet. ","")&amp;IF(AND('Project Register'!J54&lt;&gt;"",COUNTIF(Resources!$A$2:$A$51,'Project Register'!J54)=0),"Resource 2 not in Resources sheet. ","")&amp;IF(AND('Project Register'!L54&lt;&gt;"",COUNTIF(Resources!$A$2:$A$51,'Project Register'!L54)=0),"Resource 3 not in Resources sheet. ","")&amp;IF('Project Register'!O54="","Test Status missing. ","")&amp;IF(AND(ISNUMBER(E54),E54&gt;1),"This task alone needs over 100% per person. ","")&amp;IF(AND('Project Register'!Q54="Deployed in Live",'Project Register'!R54=""),"Release Date blank (import date will be used). ","")))</f>
        <v/>
      </c>
      <c r="G54" s="17" t="str">
        <f aca="false">IF('Project Register'!$A54="","",IF(F54="","OK","Check"))</f>
        <v/>
      </c>
    </row>
    <row r="55" customFormat="false" ht="15" hidden="false" customHeight="false" outlineLevel="0" collapsed="false">
      <c r="A55" s="15" t="str">
        <f aca="false">IF('Project Register'!$A55="","",ROW('Project Register'!A55))</f>
        <v/>
      </c>
      <c r="B55" s="15" t="str">
        <f aca="false">IF('Project Register'!$A55="","",'Project Register'!B55)</f>
        <v/>
      </c>
      <c r="C55" s="15" t="str">
        <f aca="false">IF('Project Register'!$A55="","",IF(OR('Project Register'!E55="",'Project Register'!F55=""),"",IF('Project Register'!F55&lt;'Project Register'!E55,0,NETWORKDAYS.INTL('Project Register'!E55,'Project Register'!F55,"0000110",Holidays_Leave!$A$3:$A$62))))</f>
        <v/>
      </c>
      <c r="D55" s="15" t="str">
        <f aca="false">IF('Project Register'!$A55="","",('Project Register'!H55&lt;&gt;"")+('Project Register'!J55&lt;&gt;"")+('Project Register'!L55&lt;&gt;""))</f>
        <v/>
      </c>
      <c r="E55" s="16" t="str">
        <f aca="false">IF(OR(C55="",D55="",'Project Register'!G55=""),"",IF(OR(C55=0,D55=0),"",'Project Register'!G55/(C55*D55)))</f>
        <v/>
      </c>
      <c r="F55" s="15" t="str">
        <f aca="false">IF('Project Register'!$A55="","",TRIM(IF(OR('Project Register'!E55="",'Project Register'!F55=""),"Missing date. ","")&amp;IF(AND('Project Register'!E55&lt;&gt;"",'Project Register'!F55&lt;&gt;"",'Project Register'!F55&lt;'Project Register'!E55),"End before start. ","")&amp;IF(NOT(ISNUMBER('Project Register'!G55)),"Effort missing. ","")&amp;IF(D55=0,"No resource. ","")&amp;IF(AND('Project Register'!H55&lt;&gt;"",'Project Register'!I55=""),"Role 1 missing. ","")&amp;IF(AND('Project Register'!J55&lt;&gt;"",'Project Register'!K55=""),"Role 2 missing. ","")&amp;IF(AND('Project Register'!L55&lt;&gt;"",'Project Register'!M55=""),"Role 3 missing. ","")&amp;IF(OR(AND('Project Register'!H55&lt;&gt;"",'Project Register'!H55='Project Register'!J55),AND('Project Register'!H55&lt;&gt;"",'Project Register'!H55='Project Register'!L55),AND('Project Register'!J55&lt;&gt;"",'Project Register'!J55='Project Register'!L55)),"Same person listed twice. ","")&amp;IF(AND('Project Register'!H55&lt;&gt;"",COUNTIF(Resources!$A$2:$A$51,'Project Register'!H55)=0),"Resource 1 not in Resources sheet. ","")&amp;IF(AND('Project Register'!J55&lt;&gt;"",COUNTIF(Resources!$A$2:$A$51,'Project Register'!J55)=0),"Resource 2 not in Resources sheet. ","")&amp;IF(AND('Project Register'!L55&lt;&gt;"",COUNTIF(Resources!$A$2:$A$51,'Project Register'!L55)=0),"Resource 3 not in Resources sheet. ","")&amp;IF('Project Register'!O55="","Test Status missing. ","")&amp;IF(AND(ISNUMBER(E55),E55&gt;1),"This task alone needs over 100% per person. ","")&amp;IF(AND('Project Register'!Q55="Deployed in Live",'Project Register'!R55=""),"Release Date blank (import date will be used). ","")))</f>
        <v/>
      </c>
      <c r="G55" s="17" t="str">
        <f aca="false">IF('Project Register'!$A55="","",IF(F55="","OK","Check"))</f>
        <v/>
      </c>
    </row>
    <row r="56" customFormat="false" ht="15" hidden="false" customHeight="false" outlineLevel="0" collapsed="false">
      <c r="A56" s="15" t="str">
        <f aca="false">IF('Project Register'!$A56="","",ROW('Project Register'!A56))</f>
        <v/>
      </c>
      <c r="B56" s="15" t="str">
        <f aca="false">IF('Project Register'!$A56="","",'Project Register'!B56)</f>
        <v/>
      </c>
      <c r="C56" s="15" t="str">
        <f aca="false">IF('Project Register'!$A56="","",IF(OR('Project Register'!E56="",'Project Register'!F56=""),"",IF('Project Register'!F56&lt;'Project Register'!E56,0,NETWORKDAYS.INTL('Project Register'!E56,'Project Register'!F56,"0000110",Holidays_Leave!$A$3:$A$62))))</f>
        <v/>
      </c>
      <c r="D56" s="15" t="str">
        <f aca="false">IF('Project Register'!$A56="","",('Project Register'!H56&lt;&gt;"")+('Project Register'!J56&lt;&gt;"")+('Project Register'!L56&lt;&gt;""))</f>
        <v/>
      </c>
      <c r="E56" s="16" t="str">
        <f aca="false">IF(OR(C56="",D56="",'Project Register'!G56=""),"",IF(OR(C56=0,D56=0),"",'Project Register'!G56/(C56*D56)))</f>
        <v/>
      </c>
      <c r="F56" s="15" t="str">
        <f aca="false">IF('Project Register'!$A56="","",TRIM(IF(OR('Project Register'!E56="",'Project Register'!F56=""),"Missing date. ","")&amp;IF(AND('Project Register'!E56&lt;&gt;"",'Project Register'!F56&lt;&gt;"",'Project Register'!F56&lt;'Project Register'!E56),"End before start. ","")&amp;IF(NOT(ISNUMBER('Project Register'!G56)),"Effort missing. ","")&amp;IF(D56=0,"No resource. ","")&amp;IF(AND('Project Register'!H56&lt;&gt;"",'Project Register'!I56=""),"Role 1 missing. ","")&amp;IF(AND('Project Register'!J56&lt;&gt;"",'Project Register'!K56=""),"Role 2 missing. ","")&amp;IF(AND('Project Register'!L56&lt;&gt;"",'Project Register'!M56=""),"Role 3 missing. ","")&amp;IF(OR(AND('Project Register'!H56&lt;&gt;"",'Project Register'!H56='Project Register'!J56),AND('Project Register'!H56&lt;&gt;"",'Project Register'!H56='Project Register'!L56),AND('Project Register'!J56&lt;&gt;"",'Project Register'!J56='Project Register'!L56)),"Same person listed twice. ","")&amp;IF(AND('Project Register'!H56&lt;&gt;"",COUNTIF(Resources!$A$2:$A$51,'Project Register'!H56)=0),"Resource 1 not in Resources sheet. ","")&amp;IF(AND('Project Register'!J56&lt;&gt;"",COUNTIF(Resources!$A$2:$A$51,'Project Register'!J56)=0),"Resource 2 not in Resources sheet. ","")&amp;IF(AND('Project Register'!L56&lt;&gt;"",COUNTIF(Resources!$A$2:$A$51,'Project Register'!L56)=0),"Resource 3 not in Resources sheet. ","")&amp;IF('Project Register'!O56="","Test Status missing. ","")&amp;IF(AND(ISNUMBER(E56),E56&gt;1),"This task alone needs over 100% per person. ","")&amp;IF(AND('Project Register'!Q56="Deployed in Live",'Project Register'!R56=""),"Release Date blank (import date will be used). ","")))</f>
        <v/>
      </c>
      <c r="G56" s="17" t="str">
        <f aca="false">IF('Project Register'!$A56="","",IF(F56="","OK","Check"))</f>
        <v/>
      </c>
    </row>
    <row r="57" customFormat="false" ht="15" hidden="false" customHeight="false" outlineLevel="0" collapsed="false">
      <c r="A57" s="15" t="str">
        <f aca="false">IF('Project Register'!$A57="","",ROW('Project Register'!A57))</f>
        <v/>
      </c>
      <c r="B57" s="15" t="str">
        <f aca="false">IF('Project Register'!$A57="","",'Project Register'!B57)</f>
        <v/>
      </c>
      <c r="C57" s="15" t="str">
        <f aca="false">IF('Project Register'!$A57="","",IF(OR('Project Register'!E57="",'Project Register'!F57=""),"",IF('Project Register'!F57&lt;'Project Register'!E57,0,NETWORKDAYS.INTL('Project Register'!E57,'Project Register'!F57,"0000110",Holidays_Leave!$A$3:$A$62))))</f>
        <v/>
      </c>
      <c r="D57" s="15" t="str">
        <f aca="false">IF('Project Register'!$A57="","",('Project Register'!H57&lt;&gt;"")+('Project Register'!J57&lt;&gt;"")+('Project Register'!L57&lt;&gt;""))</f>
        <v/>
      </c>
      <c r="E57" s="16" t="str">
        <f aca="false">IF(OR(C57="",D57="",'Project Register'!G57=""),"",IF(OR(C57=0,D57=0),"",'Project Register'!G57/(C57*D57)))</f>
        <v/>
      </c>
      <c r="F57" s="15" t="str">
        <f aca="false">IF('Project Register'!$A57="","",TRIM(IF(OR('Project Register'!E57="",'Project Register'!F57=""),"Missing date. ","")&amp;IF(AND('Project Register'!E57&lt;&gt;"",'Project Register'!F57&lt;&gt;"",'Project Register'!F57&lt;'Project Register'!E57),"End before start. ","")&amp;IF(NOT(ISNUMBER('Project Register'!G57)),"Effort missing. ","")&amp;IF(D57=0,"No resource. ","")&amp;IF(AND('Project Register'!H57&lt;&gt;"",'Project Register'!I57=""),"Role 1 missing. ","")&amp;IF(AND('Project Register'!J57&lt;&gt;"",'Project Register'!K57=""),"Role 2 missing. ","")&amp;IF(AND('Project Register'!L57&lt;&gt;"",'Project Register'!M57=""),"Role 3 missing. ","")&amp;IF(OR(AND('Project Register'!H57&lt;&gt;"",'Project Register'!H57='Project Register'!J57),AND('Project Register'!H57&lt;&gt;"",'Project Register'!H57='Project Register'!L57),AND('Project Register'!J57&lt;&gt;"",'Project Register'!J57='Project Register'!L57)),"Same person listed twice. ","")&amp;IF(AND('Project Register'!H57&lt;&gt;"",COUNTIF(Resources!$A$2:$A$51,'Project Register'!H57)=0),"Resource 1 not in Resources sheet. ","")&amp;IF(AND('Project Register'!J57&lt;&gt;"",COUNTIF(Resources!$A$2:$A$51,'Project Register'!J57)=0),"Resource 2 not in Resources sheet. ","")&amp;IF(AND('Project Register'!L57&lt;&gt;"",COUNTIF(Resources!$A$2:$A$51,'Project Register'!L57)=0),"Resource 3 not in Resources sheet. ","")&amp;IF('Project Register'!O57="","Test Status missing. ","")&amp;IF(AND(ISNUMBER(E57),E57&gt;1),"This task alone needs over 100% per person. ","")&amp;IF(AND('Project Register'!Q57="Deployed in Live",'Project Register'!R57=""),"Release Date blank (import date will be used). ","")))</f>
        <v/>
      </c>
      <c r="G57" s="17" t="str">
        <f aca="false">IF('Project Register'!$A57="","",IF(F57="","OK","Check"))</f>
        <v/>
      </c>
    </row>
    <row r="58" customFormat="false" ht="15" hidden="false" customHeight="false" outlineLevel="0" collapsed="false">
      <c r="A58" s="15" t="str">
        <f aca="false">IF('Project Register'!$A58="","",ROW('Project Register'!A58))</f>
        <v/>
      </c>
      <c r="B58" s="15" t="str">
        <f aca="false">IF('Project Register'!$A58="","",'Project Register'!B58)</f>
        <v/>
      </c>
      <c r="C58" s="15" t="str">
        <f aca="false">IF('Project Register'!$A58="","",IF(OR('Project Register'!E58="",'Project Register'!F58=""),"",IF('Project Register'!F58&lt;'Project Register'!E58,0,NETWORKDAYS.INTL('Project Register'!E58,'Project Register'!F58,"0000110",Holidays_Leave!$A$3:$A$62))))</f>
        <v/>
      </c>
      <c r="D58" s="15" t="str">
        <f aca="false">IF('Project Register'!$A58="","",('Project Register'!H58&lt;&gt;"")+('Project Register'!J58&lt;&gt;"")+('Project Register'!L58&lt;&gt;""))</f>
        <v/>
      </c>
      <c r="E58" s="16" t="str">
        <f aca="false">IF(OR(C58="",D58="",'Project Register'!G58=""),"",IF(OR(C58=0,D58=0),"",'Project Register'!G58/(C58*D58)))</f>
        <v/>
      </c>
      <c r="F58" s="15" t="str">
        <f aca="false">IF('Project Register'!$A58="","",TRIM(IF(OR('Project Register'!E58="",'Project Register'!F58=""),"Missing date. ","")&amp;IF(AND('Project Register'!E58&lt;&gt;"",'Project Register'!F58&lt;&gt;"",'Project Register'!F58&lt;'Project Register'!E58),"End before start. ","")&amp;IF(NOT(ISNUMBER('Project Register'!G58)),"Effort missing. ","")&amp;IF(D58=0,"No resource. ","")&amp;IF(AND('Project Register'!H58&lt;&gt;"",'Project Register'!I58=""),"Role 1 missing. ","")&amp;IF(AND('Project Register'!J58&lt;&gt;"",'Project Register'!K58=""),"Role 2 missing. ","")&amp;IF(AND('Project Register'!L58&lt;&gt;"",'Project Register'!M58=""),"Role 3 missing. ","")&amp;IF(OR(AND('Project Register'!H58&lt;&gt;"",'Project Register'!H58='Project Register'!J58),AND('Project Register'!H58&lt;&gt;"",'Project Register'!H58='Project Register'!L58),AND('Project Register'!J58&lt;&gt;"",'Project Register'!J58='Project Register'!L58)),"Same person listed twice. ","")&amp;IF(AND('Project Register'!H58&lt;&gt;"",COUNTIF(Resources!$A$2:$A$51,'Project Register'!H58)=0),"Resource 1 not in Resources sheet. ","")&amp;IF(AND('Project Register'!J58&lt;&gt;"",COUNTIF(Resources!$A$2:$A$51,'Project Register'!J58)=0),"Resource 2 not in Resources sheet. ","")&amp;IF(AND('Project Register'!L58&lt;&gt;"",COUNTIF(Resources!$A$2:$A$51,'Project Register'!L58)=0),"Resource 3 not in Resources sheet. ","")&amp;IF('Project Register'!O58="","Test Status missing. ","")&amp;IF(AND(ISNUMBER(E58),E58&gt;1),"This task alone needs over 100% per person. ","")&amp;IF(AND('Project Register'!Q58="Deployed in Live",'Project Register'!R58=""),"Release Date blank (import date will be used). ","")))</f>
        <v/>
      </c>
      <c r="G58" s="17" t="str">
        <f aca="false">IF('Project Register'!$A58="","",IF(F58="","OK","Check"))</f>
        <v/>
      </c>
    </row>
    <row r="59" customFormat="false" ht="15" hidden="false" customHeight="false" outlineLevel="0" collapsed="false">
      <c r="A59" s="15" t="str">
        <f aca="false">IF('Project Register'!$A59="","",ROW('Project Register'!A59))</f>
        <v/>
      </c>
      <c r="B59" s="15" t="str">
        <f aca="false">IF('Project Register'!$A59="","",'Project Register'!B59)</f>
        <v/>
      </c>
      <c r="C59" s="15" t="str">
        <f aca="false">IF('Project Register'!$A59="","",IF(OR('Project Register'!E59="",'Project Register'!F59=""),"",IF('Project Register'!F59&lt;'Project Register'!E59,0,NETWORKDAYS.INTL('Project Register'!E59,'Project Register'!F59,"0000110",Holidays_Leave!$A$3:$A$62))))</f>
        <v/>
      </c>
      <c r="D59" s="15" t="str">
        <f aca="false">IF('Project Register'!$A59="","",('Project Register'!H59&lt;&gt;"")+('Project Register'!J59&lt;&gt;"")+('Project Register'!L59&lt;&gt;""))</f>
        <v/>
      </c>
      <c r="E59" s="16" t="str">
        <f aca="false">IF(OR(C59="",D59="",'Project Register'!G59=""),"",IF(OR(C59=0,D59=0),"",'Project Register'!G59/(C59*D59)))</f>
        <v/>
      </c>
      <c r="F59" s="15" t="str">
        <f aca="false">IF('Project Register'!$A59="","",TRIM(IF(OR('Project Register'!E59="",'Project Register'!F59=""),"Missing date. ","")&amp;IF(AND('Project Register'!E59&lt;&gt;"",'Project Register'!F59&lt;&gt;"",'Project Register'!F59&lt;'Project Register'!E59),"End before start. ","")&amp;IF(NOT(ISNUMBER('Project Register'!G59)),"Effort missing. ","")&amp;IF(D59=0,"No resource. ","")&amp;IF(AND('Project Register'!H59&lt;&gt;"",'Project Register'!I59=""),"Role 1 missing. ","")&amp;IF(AND('Project Register'!J59&lt;&gt;"",'Project Register'!K59=""),"Role 2 missing. ","")&amp;IF(AND('Project Register'!L59&lt;&gt;"",'Project Register'!M59=""),"Role 3 missing. ","")&amp;IF(OR(AND('Project Register'!H59&lt;&gt;"",'Project Register'!H59='Project Register'!J59),AND('Project Register'!H59&lt;&gt;"",'Project Register'!H59='Project Register'!L59),AND('Project Register'!J59&lt;&gt;"",'Project Register'!J59='Project Register'!L59)),"Same person listed twice. ","")&amp;IF(AND('Project Register'!H59&lt;&gt;"",COUNTIF(Resources!$A$2:$A$51,'Project Register'!H59)=0),"Resource 1 not in Resources sheet. ","")&amp;IF(AND('Project Register'!J59&lt;&gt;"",COUNTIF(Resources!$A$2:$A$51,'Project Register'!J59)=0),"Resource 2 not in Resources sheet. ","")&amp;IF(AND('Project Register'!L59&lt;&gt;"",COUNTIF(Resources!$A$2:$A$51,'Project Register'!L59)=0),"Resource 3 not in Resources sheet. ","")&amp;IF('Project Register'!O59="","Test Status missing. ","")&amp;IF(AND(ISNUMBER(E59),E59&gt;1),"This task alone needs over 100% per person. ","")&amp;IF(AND('Project Register'!Q59="Deployed in Live",'Project Register'!R59=""),"Release Date blank (import date will be used). ","")))</f>
        <v/>
      </c>
      <c r="G59" s="17" t="str">
        <f aca="false">IF('Project Register'!$A59="","",IF(F59="","OK","Check"))</f>
        <v/>
      </c>
    </row>
    <row r="60" customFormat="false" ht="15" hidden="false" customHeight="false" outlineLevel="0" collapsed="false">
      <c r="A60" s="15" t="str">
        <f aca="false">IF('Project Register'!$A60="","",ROW('Project Register'!A60))</f>
        <v/>
      </c>
      <c r="B60" s="15" t="str">
        <f aca="false">IF('Project Register'!$A60="","",'Project Register'!B60)</f>
        <v/>
      </c>
      <c r="C60" s="15" t="str">
        <f aca="false">IF('Project Register'!$A60="","",IF(OR('Project Register'!E60="",'Project Register'!F60=""),"",IF('Project Register'!F60&lt;'Project Register'!E60,0,NETWORKDAYS.INTL('Project Register'!E60,'Project Register'!F60,"0000110",Holidays_Leave!$A$3:$A$62))))</f>
        <v/>
      </c>
      <c r="D60" s="15" t="str">
        <f aca="false">IF('Project Register'!$A60="","",('Project Register'!H60&lt;&gt;"")+('Project Register'!J60&lt;&gt;"")+('Project Register'!L60&lt;&gt;""))</f>
        <v/>
      </c>
      <c r="E60" s="16" t="str">
        <f aca="false">IF(OR(C60="",D60="",'Project Register'!G60=""),"",IF(OR(C60=0,D60=0),"",'Project Register'!G60/(C60*D60)))</f>
        <v/>
      </c>
      <c r="F60" s="15" t="str">
        <f aca="false">IF('Project Register'!$A60="","",TRIM(IF(OR('Project Register'!E60="",'Project Register'!F60=""),"Missing date. ","")&amp;IF(AND('Project Register'!E60&lt;&gt;"",'Project Register'!F60&lt;&gt;"",'Project Register'!F60&lt;'Project Register'!E60),"End before start. ","")&amp;IF(NOT(ISNUMBER('Project Register'!G60)),"Effort missing. ","")&amp;IF(D60=0,"No resource. ","")&amp;IF(AND('Project Register'!H60&lt;&gt;"",'Project Register'!I60=""),"Role 1 missing. ","")&amp;IF(AND('Project Register'!J60&lt;&gt;"",'Project Register'!K60=""),"Role 2 missing. ","")&amp;IF(AND('Project Register'!L60&lt;&gt;"",'Project Register'!M60=""),"Role 3 missing. ","")&amp;IF(OR(AND('Project Register'!H60&lt;&gt;"",'Project Register'!H60='Project Register'!J60),AND('Project Register'!H60&lt;&gt;"",'Project Register'!H60='Project Register'!L60),AND('Project Register'!J60&lt;&gt;"",'Project Register'!J60='Project Register'!L60)),"Same person listed twice. ","")&amp;IF(AND('Project Register'!H60&lt;&gt;"",COUNTIF(Resources!$A$2:$A$51,'Project Register'!H60)=0),"Resource 1 not in Resources sheet. ","")&amp;IF(AND('Project Register'!J60&lt;&gt;"",COUNTIF(Resources!$A$2:$A$51,'Project Register'!J60)=0),"Resource 2 not in Resources sheet. ","")&amp;IF(AND('Project Register'!L60&lt;&gt;"",COUNTIF(Resources!$A$2:$A$51,'Project Register'!L60)=0),"Resource 3 not in Resources sheet. ","")&amp;IF('Project Register'!O60="","Test Status missing. ","")&amp;IF(AND(ISNUMBER(E60),E60&gt;1),"This task alone needs over 100% per person. ","")&amp;IF(AND('Project Register'!Q60="Deployed in Live",'Project Register'!R60=""),"Release Date blank (import date will be used). ","")))</f>
        <v/>
      </c>
      <c r="G60" s="17" t="str">
        <f aca="false">IF('Project Register'!$A60="","",IF(F60="","OK","Check"))</f>
        <v/>
      </c>
    </row>
    <row r="61" customFormat="false" ht="15" hidden="false" customHeight="false" outlineLevel="0" collapsed="false">
      <c r="A61" s="15" t="str">
        <f aca="false">IF('Project Register'!$A61="","",ROW('Project Register'!A61))</f>
        <v/>
      </c>
      <c r="B61" s="15" t="str">
        <f aca="false">IF('Project Register'!$A61="","",'Project Register'!B61)</f>
        <v/>
      </c>
      <c r="C61" s="15" t="str">
        <f aca="false">IF('Project Register'!$A61="","",IF(OR('Project Register'!E61="",'Project Register'!F61=""),"",IF('Project Register'!F61&lt;'Project Register'!E61,0,NETWORKDAYS.INTL('Project Register'!E61,'Project Register'!F61,"0000110",Holidays_Leave!$A$3:$A$62))))</f>
        <v/>
      </c>
      <c r="D61" s="15" t="str">
        <f aca="false">IF('Project Register'!$A61="","",('Project Register'!H61&lt;&gt;"")+('Project Register'!J61&lt;&gt;"")+('Project Register'!L61&lt;&gt;""))</f>
        <v/>
      </c>
      <c r="E61" s="16" t="str">
        <f aca="false">IF(OR(C61="",D61="",'Project Register'!G61=""),"",IF(OR(C61=0,D61=0),"",'Project Register'!G61/(C61*D61)))</f>
        <v/>
      </c>
      <c r="F61" s="15" t="str">
        <f aca="false">IF('Project Register'!$A61="","",TRIM(IF(OR('Project Register'!E61="",'Project Register'!F61=""),"Missing date. ","")&amp;IF(AND('Project Register'!E61&lt;&gt;"",'Project Register'!F61&lt;&gt;"",'Project Register'!F61&lt;'Project Register'!E61),"End before start. ","")&amp;IF(NOT(ISNUMBER('Project Register'!G61)),"Effort missing. ","")&amp;IF(D61=0,"No resource. ","")&amp;IF(AND('Project Register'!H61&lt;&gt;"",'Project Register'!I61=""),"Role 1 missing. ","")&amp;IF(AND('Project Register'!J61&lt;&gt;"",'Project Register'!K61=""),"Role 2 missing. ","")&amp;IF(AND('Project Register'!L61&lt;&gt;"",'Project Register'!M61=""),"Role 3 missing. ","")&amp;IF(OR(AND('Project Register'!H61&lt;&gt;"",'Project Register'!H61='Project Register'!J61),AND('Project Register'!H61&lt;&gt;"",'Project Register'!H61='Project Register'!L61),AND('Project Register'!J61&lt;&gt;"",'Project Register'!J61='Project Register'!L61)),"Same person listed twice. ","")&amp;IF(AND('Project Register'!H61&lt;&gt;"",COUNTIF(Resources!$A$2:$A$51,'Project Register'!H61)=0),"Resource 1 not in Resources sheet. ","")&amp;IF(AND('Project Register'!J61&lt;&gt;"",COUNTIF(Resources!$A$2:$A$51,'Project Register'!J61)=0),"Resource 2 not in Resources sheet. ","")&amp;IF(AND('Project Register'!L61&lt;&gt;"",COUNTIF(Resources!$A$2:$A$51,'Project Register'!L61)=0),"Resource 3 not in Resources sheet. ","")&amp;IF('Project Register'!O61="","Test Status missing. ","")&amp;IF(AND(ISNUMBER(E61),E61&gt;1),"This task alone needs over 100% per person. ","")&amp;IF(AND('Project Register'!Q61="Deployed in Live",'Project Register'!R61=""),"Release Date blank (import date will be used). ","")))</f>
        <v/>
      </c>
      <c r="G61" s="17" t="str">
        <f aca="false">IF('Project Register'!$A61="","",IF(F61="","OK","Check"))</f>
        <v/>
      </c>
    </row>
    <row r="62" customFormat="false" ht="15" hidden="false" customHeight="false" outlineLevel="0" collapsed="false">
      <c r="A62" s="15" t="str">
        <f aca="false">IF('Project Register'!$A62="","",ROW('Project Register'!A62))</f>
        <v/>
      </c>
      <c r="B62" s="15" t="str">
        <f aca="false">IF('Project Register'!$A62="","",'Project Register'!B62)</f>
        <v/>
      </c>
      <c r="C62" s="15" t="str">
        <f aca="false">IF('Project Register'!$A62="","",IF(OR('Project Register'!E62="",'Project Register'!F62=""),"",IF('Project Register'!F62&lt;'Project Register'!E62,0,NETWORKDAYS.INTL('Project Register'!E62,'Project Register'!F62,"0000110",Holidays_Leave!$A$3:$A$62))))</f>
        <v/>
      </c>
      <c r="D62" s="15" t="str">
        <f aca="false">IF('Project Register'!$A62="","",('Project Register'!H62&lt;&gt;"")+('Project Register'!J62&lt;&gt;"")+('Project Register'!L62&lt;&gt;""))</f>
        <v/>
      </c>
      <c r="E62" s="16" t="str">
        <f aca="false">IF(OR(C62="",D62="",'Project Register'!G62=""),"",IF(OR(C62=0,D62=0),"",'Project Register'!G62/(C62*D62)))</f>
        <v/>
      </c>
      <c r="F62" s="15" t="str">
        <f aca="false">IF('Project Register'!$A62="","",TRIM(IF(OR('Project Register'!E62="",'Project Register'!F62=""),"Missing date. ","")&amp;IF(AND('Project Register'!E62&lt;&gt;"",'Project Register'!F62&lt;&gt;"",'Project Register'!F62&lt;'Project Register'!E62),"End before start. ","")&amp;IF(NOT(ISNUMBER('Project Register'!G62)),"Effort missing. ","")&amp;IF(D62=0,"No resource. ","")&amp;IF(AND('Project Register'!H62&lt;&gt;"",'Project Register'!I62=""),"Role 1 missing. ","")&amp;IF(AND('Project Register'!J62&lt;&gt;"",'Project Register'!K62=""),"Role 2 missing. ","")&amp;IF(AND('Project Register'!L62&lt;&gt;"",'Project Register'!M62=""),"Role 3 missing. ","")&amp;IF(OR(AND('Project Register'!H62&lt;&gt;"",'Project Register'!H62='Project Register'!J62),AND('Project Register'!H62&lt;&gt;"",'Project Register'!H62='Project Register'!L62),AND('Project Register'!J62&lt;&gt;"",'Project Register'!J62='Project Register'!L62)),"Same person listed twice. ","")&amp;IF(AND('Project Register'!H62&lt;&gt;"",COUNTIF(Resources!$A$2:$A$51,'Project Register'!H62)=0),"Resource 1 not in Resources sheet. ","")&amp;IF(AND('Project Register'!J62&lt;&gt;"",COUNTIF(Resources!$A$2:$A$51,'Project Register'!J62)=0),"Resource 2 not in Resources sheet. ","")&amp;IF(AND('Project Register'!L62&lt;&gt;"",COUNTIF(Resources!$A$2:$A$51,'Project Register'!L62)=0),"Resource 3 not in Resources sheet. ","")&amp;IF('Project Register'!O62="","Test Status missing. ","")&amp;IF(AND(ISNUMBER(E62),E62&gt;1),"This task alone needs over 100% per person. ","")&amp;IF(AND('Project Register'!Q62="Deployed in Live",'Project Register'!R62=""),"Release Date blank (import date will be used). ","")))</f>
        <v/>
      </c>
      <c r="G62" s="17" t="str">
        <f aca="false">IF('Project Register'!$A62="","",IF(F62="","OK","Check"))</f>
        <v/>
      </c>
    </row>
    <row r="63" customFormat="false" ht="15" hidden="false" customHeight="false" outlineLevel="0" collapsed="false">
      <c r="A63" s="15" t="str">
        <f aca="false">IF('Project Register'!$A63="","",ROW('Project Register'!A63))</f>
        <v/>
      </c>
      <c r="B63" s="15" t="str">
        <f aca="false">IF('Project Register'!$A63="","",'Project Register'!B63)</f>
        <v/>
      </c>
      <c r="C63" s="15" t="str">
        <f aca="false">IF('Project Register'!$A63="","",IF(OR('Project Register'!E63="",'Project Register'!F63=""),"",IF('Project Register'!F63&lt;'Project Register'!E63,0,NETWORKDAYS.INTL('Project Register'!E63,'Project Register'!F63,"0000110",Holidays_Leave!$A$3:$A$62))))</f>
        <v/>
      </c>
      <c r="D63" s="15" t="str">
        <f aca="false">IF('Project Register'!$A63="","",('Project Register'!H63&lt;&gt;"")+('Project Register'!J63&lt;&gt;"")+('Project Register'!L63&lt;&gt;""))</f>
        <v/>
      </c>
      <c r="E63" s="16" t="str">
        <f aca="false">IF(OR(C63="",D63="",'Project Register'!G63=""),"",IF(OR(C63=0,D63=0),"",'Project Register'!G63/(C63*D63)))</f>
        <v/>
      </c>
      <c r="F63" s="15" t="str">
        <f aca="false">IF('Project Register'!$A63="","",TRIM(IF(OR('Project Register'!E63="",'Project Register'!F63=""),"Missing date. ","")&amp;IF(AND('Project Register'!E63&lt;&gt;"",'Project Register'!F63&lt;&gt;"",'Project Register'!F63&lt;'Project Register'!E63),"End before start. ","")&amp;IF(NOT(ISNUMBER('Project Register'!G63)),"Effort missing. ","")&amp;IF(D63=0,"No resource. ","")&amp;IF(AND('Project Register'!H63&lt;&gt;"",'Project Register'!I63=""),"Role 1 missing. ","")&amp;IF(AND('Project Register'!J63&lt;&gt;"",'Project Register'!K63=""),"Role 2 missing. ","")&amp;IF(AND('Project Register'!L63&lt;&gt;"",'Project Register'!M63=""),"Role 3 missing. ","")&amp;IF(OR(AND('Project Register'!H63&lt;&gt;"",'Project Register'!H63='Project Register'!J63),AND('Project Register'!H63&lt;&gt;"",'Project Register'!H63='Project Register'!L63),AND('Project Register'!J63&lt;&gt;"",'Project Register'!J63='Project Register'!L63)),"Same person listed twice. ","")&amp;IF(AND('Project Register'!H63&lt;&gt;"",COUNTIF(Resources!$A$2:$A$51,'Project Register'!H63)=0),"Resource 1 not in Resources sheet. ","")&amp;IF(AND('Project Register'!J63&lt;&gt;"",COUNTIF(Resources!$A$2:$A$51,'Project Register'!J63)=0),"Resource 2 not in Resources sheet. ","")&amp;IF(AND('Project Register'!L63&lt;&gt;"",COUNTIF(Resources!$A$2:$A$51,'Project Register'!L63)=0),"Resource 3 not in Resources sheet. ","")&amp;IF('Project Register'!O63="","Test Status missing. ","")&amp;IF(AND(ISNUMBER(E63),E63&gt;1),"This task alone needs over 100% per person. ","")&amp;IF(AND('Project Register'!Q63="Deployed in Live",'Project Register'!R63=""),"Release Date blank (import date will be used). ","")))</f>
        <v/>
      </c>
      <c r="G63" s="17" t="str">
        <f aca="false">IF('Project Register'!$A63="","",IF(F63="","OK","Check"))</f>
        <v/>
      </c>
    </row>
    <row r="64" customFormat="false" ht="15" hidden="false" customHeight="false" outlineLevel="0" collapsed="false">
      <c r="A64" s="15" t="str">
        <f aca="false">IF('Project Register'!$A64="","",ROW('Project Register'!A64))</f>
        <v/>
      </c>
      <c r="B64" s="15" t="str">
        <f aca="false">IF('Project Register'!$A64="","",'Project Register'!B64)</f>
        <v/>
      </c>
      <c r="C64" s="15" t="str">
        <f aca="false">IF('Project Register'!$A64="","",IF(OR('Project Register'!E64="",'Project Register'!F64=""),"",IF('Project Register'!F64&lt;'Project Register'!E64,0,NETWORKDAYS.INTL('Project Register'!E64,'Project Register'!F64,"0000110",Holidays_Leave!$A$3:$A$62))))</f>
        <v/>
      </c>
      <c r="D64" s="15" t="str">
        <f aca="false">IF('Project Register'!$A64="","",('Project Register'!H64&lt;&gt;"")+('Project Register'!J64&lt;&gt;"")+('Project Register'!L64&lt;&gt;""))</f>
        <v/>
      </c>
      <c r="E64" s="16" t="str">
        <f aca="false">IF(OR(C64="",D64="",'Project Register'!G64=""),"",IF(OR(C64=0,D64=0),"",'Project Register'!G64/(C64*D64)))</f>
        <v/>
      </c>
      <c r="F64" s="15" t="str">
        <f aca="false">IF('Project Register'!$A64="","",TRIM(IF(OR('Project Register'!E64="",'Project Register'!F64=""),"Missing date. ","")&amp;IF(AND('Project Register'!E64&lt;&gt;"",'Project Register'!F64&lt;&gt;"",'Project Register'!F64&lt;'Project Register'!E64),"End before start. ","")&amp;IF(NOT(ISNUMBER('Project Register'!G64)),"Effort missing. ","")&amp;IF(D64=0,"No resource. ","")&amp;IF(AND('Project Register'!H64&lt;&gt;"",'Project Register'!I64=""),"Role 1 missing. ","")&amp;IF(AND('Project Register'!J64&lt;&gt;"",'Project Register'!K64=""),"Role 2 missing. ","")&amp;IF(AND('Project Register'!L64&lt;&gt;"",'Project Register'!M64=""),"Role 3 missing. ","")&amp;IF(OR(AND('Project Register'!H64&lt;&gt;"",'Project Register'!H64='Project Register'!J64),AND('Project Register'!H64&lt;&gt;"",'Project Register'!H64='Project Register'!L64),AND('Project Register'!J64&lt;&gt;"",'Project Register'!J64='Project Register'!L64)),"Same person listed twice. ","")&amp;IF(AND('Project Register'!H64&lt;&gt;"",COUNTIF(Resources!$A$2:$A$51,'Project Register'!H64)=0),"Resource 1 not in Resources sheet. ","")&amp;IF(AND('Project Register'!J64&lt;&gt;"",COUNTIF(Resources!$A$2:$A$51,'Project Register'!J64)=0),"Resource 2 not in Resources sheet. ","")&amp;IF(AND('Project Register'!L64&lt;&gt;"",COUNTIF(Resources!$A$2:$A$51,'Project Register'!L64)=0),"Resource 3 not in Resources sheet. ","")&amp;IF('Project Register'!O64="","Test Status missing. ","")&amp;IF(AND(ISNUMBER(E64),E64&gt;1),"This task alone needs over 100% per person. ","")&amp;IF(AND('Project Register'!Q64="Deployed in Live",'Project Register'!R64=""),"Release Date blank (import date will be used). ","")))</f>
        <v/>
      </c>
      <c r="G64" s="17" t="str">
        <f aca="false">IF('Project Register'!$A64="","",IF(F64="","OK","Check"))</f>
        <v/>
      </c>
    </row>
    <row r="65" customFormat="false" ht="15" hidden="false" customHeight="false" outlineLevel="0" collapsed="false">
      <c r="A65" s="15" t="str">
        <f aca="false">IF('Project Register'!$A65="","",ROW('Project Register'!A65))</f>
        <v/>
      </c>
      <c r="B65" s="15" t="str">
        <f aca="false">IF('Project Register'!$A65="","",'Project Register'!B65)</f>
        <v/>
      </c>
      <c r="C65" s="15" t="str">
        <f aca="false">IF('Project Register'!$A65="","",IF(OR('Project Register'!E65="",'Project Register'!F65=""),"",IF('Project Register'!F65&lt;'Project Register'!E65,0,NETWORKDAYS.INTL('Project Register'!E65,'Project Register'!F65,"0000110",Holidays_Leave!$A$3:$A$62))))</f>
        <v/>
      </c>
      <c r="D65" s="15" t="str">
        <f aca="false">IF('Project Register'!$A65="","",('Project Register'!H65&lt;&gt;"")+('Project Register'!J65&lt;&gt;"")+('Project Register'!L65&lt;&gt;""))</f>
        <v/>
      </c>
      <c r="E65" s="16" t="str">
        <f aca="false">IF(OR(C65="",D65="",'Project Register'!G65=""),"",IF(OR(C65=0,D65=0),"",'Project Register'!G65/(C65*D65)))</f>
        <v/>
      </c>
      <c r="F65" s="15" t="str">
        <f aca="false">IF('Project Register'!$A65="","",TRIM(IF(OR('Project Register'!E65="",'Project Register'!F65=""),"Missing date. ","")&amp;IF(AND('Project Register'!E65&lt;&gt;"",'Project Register'!F65&lt;&gt;"",'Project Register'!F65&lt;'Project Register'!E65),"End before start. ","")&amp;IF(NOT(ISNUMBER('Project Register'!G65)),"Effort missing. ","")&amp;IF(D65=0,"No resource. ","")&amp;IF(AND('Project Register'!H65&lt;&gt;"",'Project Register'!I65=""),"Role 1 missing. ","")&amp;IF(AND('Project Register'!J65&lt;&gt;"",'Project Register'!K65=""),"Role 2 missing. ","")&amp;IF(AND('Project Register'!L65&lt;&gt;"",'Project Register'!M65=""),"Role 3 missing. ","")&amp;IF(OR(AND('Project Register'!H65&lt;&gt;"",'Project Register'!H65='Project Register'!J65),AND('Project Register'!H65&lt;&gt;"",'Project Register'!H65='Project Register'!L65),AND('Project Register'!J65&lt;&gt;"",'Project Register'!J65='Project Register'!L65)),"Same person listed twice. ","")&amp;IF(AND('Project Register'!H65&lt;&gt;"",COUNTIF(Resources!$A$2:$A$51,'Project Register'!H65)=0),"Resource 1 not in Resources sheet. ","")&amp;IF(AND('Project Register'!J65&lt;&gt;"",COUNTIF(Resources!$A$2:$A$51,'Project Register'!J65)=0),"Resource 2 not in Resources sheet. ","")&amp;IF(AND('Project Register'!L65&lt;&gt;"",COUNTIF(Resources!$A$2:$A$51,'Project Register'!L65)=0),"Resource 3 not in Resources sheet. ","")&amp;IF('Project Register'!O65="","Test Status missing. ","")&amp;IF(AND(ISNUMBER(E65),E65&gt;1),"This task alone needs over 100% per person. ","")&amp;IF(AND('Project Register'!Q65="Deployed in Live",'Project Register'!R65=""),"Release Date blank (import date will be used). ","")))</f>
        <v/>
      </c>
      <c r="G65" s="17" t="str">
        <f aca="false">IF('Project Register'!$A65="","",IF(F65="","OK","Check"))</f>
        <v/>
      </c>
    </row>
    <row r="66" customFormat="false" ht="15" hidden="false" customHeight="false" outlineLevel="0" collapsed="false">
      <c r="A66" s="15" t="str">
        <f aca="false">IF('Project Register'!$A66="","",ROW('Project Register'!A66))</f>
        <v/>
      </c>
      <c r="B66" s="15" t="str">
        <f aca="false">IF('Project Register'!$A66="","",'Project Register'!B66)</f>
        <v/>
      </c>
      <c r="C66" s="15" t="str">
        <f aca="false">IF('Project Register'!$A66="","",IF(OR('Project Register'!E66="",'Project Register'!F66=""),"",IF('Project Register'!F66&lt;'Project Register'!E66,0,NETWORKDAYS.INTL('Project Register'!E66,'Project Register'!F66,"0000110",Holidays_Leave!$A$3:$A$62))))</f>
        <v/>
      </c>
      <c r="D66" s="15" t="str">
        <f aca="false">IF('Project Register'!$A66="","",('Project Register'!H66&lt;&gt;"")+('Project Register'!J66&lt;&gt;"")+('Project Register'!L66&lt;&gt;""))</f>
        <v/>
      </c>
      <c r="E66" s="16" t="str">
        <f aca="false">IF(OR(C66="",D66="",'Project Register'!G66=""),"",IF(OR(C66=0,D66=0),"",'Project Register'!G66/(C66*D66)))</f>
        <v/>
      </c>
      <c r="F66" s="15" t="str">
        <f aca="false">IF('Project Register'!$A66="","",TRIM(IF(OR('Project Register'!E66="",'Project Register'!F66=""),"Missing date. ","")&amp;IF(AND('Project Register'!E66&lt;&gt;"",'Project Register'!F66&lt;&gt;"",'Project Register'!F66&lt;'Project Register'!E66),"End before start. ","")&amp;IF(NOT(ISNUMBER('Project Register'!G66)),"Effort missing. ","")&amp;IF(D66=0,"No resource. ","")&amp;IF(AND('Project Register'!H66&lt;&gt;"",'Project Register'!I66=""),"Role 1 missing. ","")&amp;IF(AND('Project Register'!J66&lt;&gt;"",'Project Register'!K66=""),"Role 2 missing. ","")&amp;IF(AND('Project Register'!L66&lt;&gt;"",'Project Register'!M66=""),"Role 3 missing. ","")&amp;IF(OR(AND('Project Register'!H66&lt;&gt;"",'Project Register'!H66='Project Register'!J66),AND('Project Register'!H66&lt;&gt;"",'Project Register'!H66='Project Register'!L66),AND('Project Register'!J66&lt;&gt;"",'Project Register'!J66='Project Register'!L66)),"Same person listed twice. ","")&amp;IF(AND('Project Register'!H66&lt;&gt;"",COUNTIF(Resources!$A$2:$A$51,'Project Register'!H66)=0),"Resource 1 not in Resources sheet. ","")&amp;IF(AND('Project Register'!J66&lt;&gt;"",COUNTIF(Resources!$A$2:$A$51,'Project Register'!J66)=0),"Resource 2 not in Resources sheet. ","")&amp;IF(AND('Project Register'!L66&lt;&gt;"",COUNTIF(Resources!$A$2:$A$51,'Project Register'!L66)=0),"Resource 3 not in Resources sheet. ","")&amp;IF('Project Register'!O66="","Test Status missing. ","")&amp;IF(AND(ISNUMBER(E66),E66&gt;1),"This task alone needs over 100% per person. ","")&amp;IF(AND('Project Register'!Q66="Deployed in Live",'Project Register'!R66=""),"Release Date blank (import date will be used). ","")))</f>
        <v/>
      </c>
      <c r="G66" s="17" t="str">
        <f aca="false">IF('Project Register'!$A66="","",IF(F66="","OK","Check"))</f>
        <v/>
      </c>
    </row>
    <row r="67" customFormat="false" ht="15" hidden="false" customHeight="false" outlineLevel="0" collapsed="false">
      <c r="A67" s="15" t="str">
        <f aca="false">IF('Project Register'!$A67="","",ROW('Project Register'!A67))</f>
        <v/>
      </c>
      <c r="B67" s="15" t="str">
        <f aca="false">IF('Project Register'!$A67="","",'Project Register'!B67)</f>
        <v/>
      </c>
      <c r="C67" s="15" t="str">
        <f aca="false">IF('Project Register'!$A67="","",IF(OR('Project Register'!E67="",'Project Register'!F67=""),"",IF('Project Register'!F67&lt;'Project Register'!E67,0,NETWORKDAYS.INTL('Project Register'!E67,'Project Register'!F67,"0000110",Holidays_Leave!$A$3:$A$62))))</f>
        <v/>
      </c>
      <c r="D67" s="15" t="str">
        <f aca="false">IF('Project Register'!$A67="","",('Project Register'!H67&lt;&gt;"")+('Project Register'!J67&lt;&gt;"")+('Project Register'!L67&lt;&gt;""))</f>
        <v/>
      </c>
      <c r="E67" s="16" t="str">
        <f aca="false">IF(OR(C67="",D67="",'Project Register'!G67=""),"",IF(OR(C67=0,D67=0),"",'Project Register'!G67/(C67*D67)))</f>
        <v/>
      </c>
      <c r="F67" s="15" t="str">
        <f aca="false">IF('Project Register'!$A67="","",TRIM(IF(OR('Project Register'!E67="",'Project Register'!F67=""),"Missing date. ","")&amp;IF(AND('Project Register'!E67&lt;&gt;"",'Project Register'!F67&lt;&gt;"",'Project Register'!F67&lt;'Project Register'!E67),"End before start. ","")&amp;IF(NOT(ISNUMBER('Project Register'!G67)),"Effort missing. ","")&amp;IF(D67=0,"No resource. ","")&amp;IF(AND('Project Register'!H67&lt;&gt;"",'Project Register'!I67=""),"Role 1 missing. ","")&amp;IF(AND('Project Register'!J67&lt;&gt;"",'Project Register'!K67=""),"Role 2 missing. ","")&amp;IF(AND('Project Register'!L67&lt;&gt;"",'Project Register'!M67=""),"Role 3 missing. ","")&amp;IF(OR(AND('Project Register'!H67&lt;&gt;"",'Project Register'!H67='Project Register'!J67),AND('Project Register'!H67&lt;&gt;"",'Project Register'!H67='Project Register'!L67),AND('Project Register'!J67&lt;&gt;"",'Project Register'!J67='Project Register'!L67)),"Same person listed twice. ","")&amp;IF(AND('Project Register'!H67&lt;&gt;"",COUNTIF(Resources!$A$2:$A$51,'Project Register'!H67)=0),"Resource 1 not in Resources sheet. ","")&amp;IF(AND('Project Register'!J67&lt;&gt;"",COUNTIF(Resources!$A$2:$A$51,'Project Register'!J67)=0),"Resource 2 not in Resources sheet. ","")&amp;IF(AND('Project Register'!L67&lt;&gt;"",COUNTIF(Resources!$A$2:$A$51,'Project Register'!L67)=0),"Resource 3 not in Resources sheet. ","")&amp;IF('Project Register'!O67="","Test Status missing. ","")&amp;IF(AND(ISNUMBER(E67),E67&gt;1),"This task alone needs over 100% per person. ","")&amp;IF(AND('Project Register'!Q67="Deployed in Live",'Project Register'!R67=""),"Release Date blank (import date will be used). ","")))</f>
        <v/>
      </c>
      <c r="G67" s="17" t="str">
        <f aca="false">IF('Project Register'!$A67="","",IF(F67="","OK","Check"))</f>
        <v/>
      </c>
    </row>
    <row r="68" customFormat="false" ht="15" hidden="false" customHeight="false" outlineLevel="0" collapsed="false">
      <c r="A68" s="15" t="str">
        <f aca="false">IF('Project Register'!$A68="","",ROW('Project Register'!A68))</f>
        <v/>
      </c>
      <c r="B68" s="15" t="str">
        <f aca="false">IF('Project Register'!$A68="","",'Project Register'!B68)</f>
        <v/>
      </c>
      <c r="C68" s="15" t="str">
        <f aca="false">IF('Project Register'!$A68="","",IF(OR('Project Register'!E68="",'Project Register'!F68=""),"",IF('Project Register'!F68&lt;'Project Register'!E68,0,NETWORKDAYS.INTL('Project Register'!E68,'Project Register'!F68,"0000110",Holidays_Leave!$A$3:$A$62))))</f>
        <v/>
      </c>
      <c r="D68" s="15" t="str">
        <f aca="false">IF('Project Register'!$A68="","",('Project Register'!H68&lt;&gt;"")+('Project Register'!J68&lt;&gt;"")+('Project Register'!L68&lt;&gt;""))</f>
        <v/>
      </c>
      <c r="E68" s="16" t="str">
        <f aca="false">IF(OR(C68="",D68="",'Project Register'!G68=""),"",IF(OR(C68=0,D68=0),"",'Project Register'!G68/(C68*D68)))</f>
        <v/>
      </c>
      <c r="F68" s="15" t="str">
        <f aca="false">IF('Project Register'!$A68="","",TRIM(IF(OR('Project Register'!E68="",'Project Register'!F68=""),"Missing date. ","")&amp;IF(AND('Project Register'!E68&lt;&gt;"",'Project Register'!F68&lt;&gt;"",'Project Register'!F68&lt;'Project Register'!E68),"End before start. ","")&amp;IF(NOT(ISNUMBER('Project Register'!G68)),"Effort missing. ","")&amp;IF(D68=0,"No resource. ","")&amp;IF(AND('Project Register'!H68&lt;&gt;"",'Project Register'!I68=""),"Role 1 missing. ","")&amp;IF(AND('Project Register'!J68&lt;&gt;"",'Project Register'!K68=""),"Role 2 missing. ","")&amp;IF(AND('Project Register'!L68&lt;&gt;"",'Project Register'!M68=""),"Role 3 missing. ","")&amp;IF(OR(AND('Project Register'!H68&lt;&gt;"",'Project Register'!H68='Project Register'!J68),AND('Project Register'!H68&lt;&gt;"",'Project Register'!H68='Project Register'!L68),AND('Project Register'!J68&lt;&gt;"",'Project Register'!J68='Project Register'!L68)),"Same person listed twice. ","")&amp;IF(AND('Project Register'!H68&lt;&gt;"",COUNTIF(Resources!$A$2:$A$51,'Project Register'!H68)=0),"Resource 1 not in Resources sheet. ","")&amp;IF(AND('Project Register'!J68&lt;&gt;"",COUNTIF(Resources!$A$2:$A$51,'Project Register'!J68)=0),"Resource 2 not in Resources sheet. ","")&amp;IF(AND('Project Register'!L68&lt;&gt;"",COUNTIF(Resources!$A$2:$A$51,'Project Register'!L68)=0),"Resource 3 not in Resources sheet. ","")&amp;IF('Project Register'!O68="","Test Status missing. ","")&amp;IF(AND(ISNUMBER(E68),E68&gt;1),"This task alone needs over 100% per person. ","")&amp;IF(AND('Project Register'!Q68="Deployed in Live",'Project Register'!R68=""),"Release Date blank (import date will be used). ","")))</f>
        <v/>
      </c>
      <c r="G68" s="17" t="str">
        <f aca="false">IF('Project Register'!$A68="","",IF(F68="","OK","Check"))</f>
        <v/>
      </c>
    </row>
    <row r="69" customFormat="false" ht="15" hidden="false" customHeight="false" outlineLevel="0" collapsed="false">
      <c r="A69" s="15" t="str">
        <f aca="false">IF('Project Register'!$A69="","",ROW('Project Register'!A69))</f>
        <v/>
      </c>
      <c r="B69" s="15" t="str">
        <f aca="false">IF('Project Register'!$A69="","",'Project Register'!B69)</f>
        <v/>
      </c>
      <c r="C69" s="15" t="str">
        <f aca="false">IF('Project Register'!$A69="","",IF(OR('Project Register'!E69="",'Project Register'!F69=""),"",IF('Project Register'!F69&lt;'Project Register'!E69,0,NETWORKDAYS.INTL('Project Register'!E69,'Project Register'!F69,"0000110",Holidays_Leave!$A$3:$A$62))))</f>
        <v/>
      </c>
      <c r="D69" s="15" t="str">
        <f aca="false">IF('Project Register'!$A69="","",('Project Register'!H69&lt;&gt;"")+('Project Register'!J69&lt;&gt;"")+('Project Register'!L69&lt;&gt;""))</f>
        <v/>
      </c>
      <c r="E69" s="16" t="str">
        <f aca="false">IF(OR(C69="",D69="",'Project Register'!G69=""),"",IF(OR(C69=0,D69=0),"",'Project Register'!G69/(C69*D69)))</f>
        <v/>
      </c>
      <c r="F69" s="15" t="str">
        <f aca="false">IF('Project Register'!$A69="","",TRIM(IF(OR('Project Register'!E69="",'Project Register'!F69=""),"Missing date. ","")&amp;IF(AND('Project Register'!E69&lt;&gt;"",'Project Register'!F69&lt;&gt;"",'Project Register'!F69&lt;'Project Register'!E69),"End before start. ","")&amp;IF(NOT(ISNUMBER('Project Register'!G69)),"Effort missing. ","")&amp;IF(D69=0,"No resource. ","")&amp;IF(AND('Project Register'!H69&lt;&gt;"",'Project Register'!I69=""),"Role 1 missing. ","")&amp;IF(AND('Project Register'!J69&lt;&gt;"",'Project Register'!K69=""),"Role 2 missing. ","")&amp;IF(AND('Project Register'!L69&lt;&gt;"",'Project Register'!M69=""),"Role 3 missing. ","")&amp;IF(OR(AND('Project Register'!H69&lt;&gt;"",'Project Register'!H69='Project Register'!J69),AND('Project Register'!H69&lt;&gt;"",'Project Register'!H69='Project Register'!L69),AND('Project Register'!J69&lt;&gt;"",'Project Register'!J69='Project Register'!L69)),"Same person listed twice. ","")&amp;IF(AND('Project Register'!H69&lt;&gt;"",COUNTIF(Resources!$A$2:$A$51,'Project Register'!H69)=0),"Resource 1 not in Resources sheet. ","")&amp;IF(AND('Project Register'!J69&lt;&gt;"",COUNTIF(Resources!$A$2:$A$51,'Project Register'!J69)=0),"Resource 2 not in Resources sheet. ","")&amp;IF(AND('Project Register'!L69&lt;&gt;"",COUNTIF(Resources!$A$2:$A$51,'Project Register'!L69)=0),"Resource 3 not in Resources sheet. ","")&amp;IF('Project Register'!O69="","Test Status missing. ","")&amp;IF(AND(ISNUMBER(E69),E69&gt;1),"This task alone needs over 100% per person. ","")&amp;IF(AND('Project Register'!Q69="Deployed in Live",'Project Register'!R69=""),"Release Date blank (import date will be used). ","")))</f>
        <v/>
      </c>
      <c r="G69" s="17" t="str">
        <f aca="false">IF('Project Register'!$A69="","",IF(F69="","OK","Check"))</f>
        <v/>
      </c>
    </row>
    <row r="70" customFormat="false" ht="15" hidden="false" customHeight="false" outlineLevel="0" collapsed="false">
      <c r="A70" s="15" t="str">
        <f aca="false">IF('Project Register'!$A70="","",ROW('Project Register'!A70))</f>
        <v/>
      </c>
      <c r="B70" s="15" t="str">
        <f aca="false">IF('Project Register'!$A70="","",'Project Register'!B70)</f>
        <v/>
      </c>
      <c r="C70" s="15" t="str">
        <f aca="false">IF('Project Register'!$A70="","",IF(OR('Project Register'!E70="",'Project Register'!F70=""),"",IF('Project Register'!F70&lt;'Project Register'!E70,0,NETWORKDAYS.INTL('Project Register'!E70,'Project Register'!F70,"0000110",Holidays_Leave!$A$3:$A$62))))</f>
        <v/>
      </c>
      <c r="D70" s="15" t="str">
        <f aca="false">IF('Project Register'!$A70="","",('Project Register'!H70&lt;&gt;"")+('Project Register'!J70&lt;&gt;"")+('Project Register'!L70&lt;&gt;""))</f>
        <v/>
      </c>
      <c r="E70" s="16" t="str">
        <f aca="false">IF(OR(C70="",D70="",'Project Register'!G70=""),"",IF(OR(C70=0,D70=0),"",'Project Register'!G70/(C70*D70)))</f>
        <v/>
      </c>
      <c r="F70" s="15" t="str">
        <f aca="false">IF('Project Register'!$A70="","",TRIM(IF(OR('Project Register'!E70="",'Project Register'!F70=""),"Missing date. ","")&amp;IF(AND('Project Register'!E70&lt;&gt;"",'Project Register'!F70&lt;&gt;"",'Project Register'!F70&lt;'Project Register'!E70),"End before start. ","")&amp;IF(NOT(ISNUMBER('Project Register'!G70)),"Effort missing. ","")&amp;IF(D70=0,"No resource. ","")&amp;IF(AND('Project Register'!H70&lt;&gt;"",'Project Register'!I70=""),"Role 1 missing. ","")&amp;IF(AND('Project Register'!J70&lt;&gt;"",'Project Register'!K70=""),"Role 2 missing. ","")&amp;IF(AND('Project Register'!L70&lt;&gt;"",'Project Register'!M70=""),"Role 3 missing. ","")&amp;IF(OR(AND('Project Register'!H70&lt;&gt;"",'Project Register'!H70='Project Register'!J70),AND('Project Register'!H70&lt;&gt;"",'Project Register'!H70='Project Register'!L70),AND('Project Register'!J70&lt;&gt;"",'Project Register'!J70='Project Register'!L70)),"Same person listed twice. ","")&amp;IF(AND('Project Register'!H70&lt;&gt;"",COUNTIF(Resources!$A$2:$A$51,'Project Register'!H70)=0),"Resource 1 not in Resources sheet. ","")&amp;IF(AND('Project Register'!J70&lt;&gt;"",COUNTIF(Resources!$A$2:$A$51,'Project Register'!J70)=0),"Resource 2 not in Resources sheet. ","")&amp;IF(AND('Project Register'!L70&lt;&gt;"",COUNTIF(Resources!$A$2:$A$51,'Project Register'!L70)=0),"Resource 3 not in Resources sheet. ","")&amp;IF('Project Register'!O70="","Test Status missing. ","")&amp;IF(AND(ISNUMBER(E70),E70&gt;1),"This task alone needs over 100% per person. ","")&amp;IF(AND('Project Register'!Q70="Deployed in Live",'Project Register'!R70=""),"Release Date blank (import date will be used). ","")))</f>
        <v/>
      </c>
      <c r="G70" s="17" t="str">
        <f aca="false">IF('Project Register'!$A70="","",IF(F70="","OK","Check"))</f>
        <v/>
      </c>
    </row>
    <row r="71" customFormat="false" ht="15" hidden="false" customHeight="false" outlineLevel="0" collapsed="false">
      <c r="A71" s="15" t="str">
        <f aca="false">IF('Project Register'!$A71="","",ROW('Project Register'!A71))</f>
        <v/>
      </c>
      <c r="B71" s="15" t="str">
        <f aca="false">IF('Project Register'!$A71="","",'Project Register'!B71)</f>
        <v/>
      </c>
      <c r="C71" s="15" t="str">
        <f aca="false">IF('Project Register'!$A71="","",IF(OR('Project Register'!E71="",'Project Register'!F71=""),"",IF('Project Register'!F71&lt;'Project Register'!E71,0,NETWORKDAYS.INTL('Project Register'!E71,'Project Register'!F71,"0000110",Holidays_Leave!$A$3:$A$62))))</f>
        <v/>
      </c>
      <c r="D71" s="15" t="str">
        <f aca="false">IF('Project Register'!$A71="","",('Project Register'!H71&lt;&gt;"")+('Project Register'!J71&lt;&gt;"")+('Project Register'!L71&lt;&gt;""))</f>
        <v/>
      </c>
      <c r="E71" s="16" t="str">
        <f aca="false">IF(OR(C71="",D71="",'Project Register'!G71=""),"",IF(OR(C71=0,D71=0),"",'Project Register'!G71/(C71*D71)))</f>
        <v/>
      </c>
      <c r="F71" s="15" t="str">
        <f aca="false">IF('Project Register'!$A71="","",TRIM(IF(OR('Project Register'!E71="",'Project Register'!F71=""),"Missing date. ","")&amp;IF(AND('Project Register'!E71&lt;&gt;"",'Project Register'!F71&lt;&gt;"",'Project Register'!F71&lt;'Project Register'!E71),"End before start. ","")&amp;IF(NOT(ISNUMBER('Project Register'!G71)),"Effort missing. ","")&amp;IF(D71=0,"No resource. ","")&amp;IF(AND('Project Register'!H71&lt;&gt;"",'Project Register'!I71=""),"Role 1 missing. ","")&amp;IF(AND('Project Register'!J71&lt;&gt;"",'Project Register'!K71=""),"Role 2 missing. ","")&amp;IF(AND('Project Register'!L71&lt;&gt;"",'Project Register'!M71=""),"Role 3 missing. ","")&amp;IF(OR(AND('Project Register'!H71&lt;&gt;"",'Project Register'!H71='Project Register'!J71),AND('Project Register'!H71&lt;&gt;"",'Project Register'!H71='Project Register'!L71),AND('Project Register'!J71&lt;&gt;"",'Project Register'!J71='Project Register'!L71)),"Same person listed twice. ","")&amp;IF(AND('Project Register'!H71&lt;&gt;"",COUNTIF(Resources!$A$2:$A$51,'Project Register'!H71)=0),"Resource 1 not in Resources sheet. ","")&amp;IF(AND('Project Register'!J71&lt;&gt;"",COUNTIF(Resources!$A$2:$A$51,'Project Register'!J71)=0),"Resource 2 not in Resources sheet. ","")&amp;IF(AND('Project Register'!L71&lt;&gt;"",COUNTIF(Resources!$A$2:$A$51,'Project Register'!L71)=0),"Resource 3 not in Resources sheet. ","")&amp;IF('Project Register'!O71="","Test Status missing. ","")&amp;IF(AND(ISNUMBER(E71),E71&gt;1),"This task alone needs over 100% per person. ","")&amp;IF(AND('Project Register'!Q71="Deployed in Live",'Project Register'!R71=""),"Release Date blank (import date will be used). ","")))</f>
        <v/>
      </c>
      <c r="G71" s="17" t="str">
        <f aca="false">IF('Project Register'!$A71="","",IF(F71="","OK","Check"))</f>
        <v/>
      </c>
    </row>
    <row r="72" customFormat="false" ht="15" hidden="false" customHeight="false" outlineLevel="0" collapsed="false">
      <c r="A72" s="15" t="str">
        <f aca="false">IF('Project Register'!$A72="","",ROW('Project Register'!A72))</f>
        <v/>
      </c>
      <c r="B72" s="15" t="str">
        <f aca="false">IF('Project Register'!$A72="","",'Project Register'!B72)</f>
        <v/>
      </c>
      <c r="C72" s="15" t="str">
        <f aca="false">IF('Project Register'!$A72="","",IF(OR('Project Register'!E72="",'Project Register'!F72=""),"",IF('Project Register'!F72&lt;'Project Register'!E72,0,NETWORKDAYS.INTL('Project Register'!E72,'Project Register'!F72,"0000110",Holidays_Leave!$A$3:$A$62))))</f>
        <v/>
      </c>
      <c r="D72" s="15" t="str">
        <f aca="false">IF('Project Register'!$A72="","",('Project Register'!H72&lt;&gt;"")+('Project Register'!J72&lt;&gt;"")+('Project Register'!L72&lt;&gt;""))</f>
        <v/>
      </c>
      <c r="E72" s="16" t="str">
        <f aca="false">IF(OR(C72="",D72="",'Project Register'!G72=""),"",IF(OR(C72=0,D72=0),"",'Project Register'!G72/(C72*D72)))</f>
        <v/>
      </c>
      <c r="F72" s="15" t="str">
        <f aca="false">IF('Project Register'!$A72="","",TRIM(IF(OR('Project Register'!E72="",'Project Register'!F72=""),"Missing date. ","")&amp;IF(AND('Project Register'!E72&lt;&gt;"",'Project Register'!F72&lt;&gt;"",'Project Register'!F72&lt;'Project Register'!E72),"End before start. ","")&amp;IF(NOT(ISNUMBER('Project Register'!G72)),"Effort missing. ","")&amp;IF(D72=0,"No resource. ","")&amp;IF(AND('Project Register'!H72&lt;&gt;"",'Project Register'!I72=""),"Role 1 missing. ","")&amp;IF(AND('Project Register'!J72&lt;&gt;"",'Project Register'!K72=""),"Role 2 missing. ","")&amp;IF(AND('Project Register'!L72&lt;&gt;"",'Project Register'!M72=""),"Role 3 missing. ","")&amp;IF(OR(AND('Project Register'!H72&lt;&gt;"",'Project Register'!H72='Project Register'!J72),AND('Project Register'!H72&lt;&gt;"",'Project Register'!H72='Project Register'!L72),AND('Project Register'!J72&lt;&gt;"",'Project Register'!J72='Project Register'!L72)),"Same person listed twice. ","")&amp;IF(AND('Project Register'!H72&lt;&gt;"",COUNTIF(Resources!$A$2:$A$51,'Project Register'!H72)=0),"Resource 1 not in Resources sheet. ","")&amp;IF(AND('Project Register'!J72&lt;&gt;"",COUNTIF(Resources!$A$2:$A$51,'Project Register'!J72)=0),"Resource 2 not in Resources sheet. ","")&amp;IF(AND('Project Register'!L72&lt;&gt;"",COUNTIF(Resources!$A$2:$A$51,'Project Register'!L72)=0),"Resource 3 not in Resources sheet. ","")&amp;IF('Project Register'!O72="","Test Status missing. ","")&amp;IF(AND(ISNUMBER(E72),E72&gt;1),"This task alone needs over 100% per person. ","")&amp;IF(AND('Project Register'!Q72="Deployed in Live",'Project Register'!R72=""),"Release Date blank (import date will be used). ","")))</f>
        <v/>
      </c>
      <c r="G72" s="17" t="str">
        <f aca="false">IF('Project Register'!$A72="","",IF(F72="","OK","Check"))</f>
        <v/>
      </c>
    </row>
    <row r="73" customFormat="false" ht="15" hidden="false" customHeight="false" outlineLevel="0" collapsed="false">
      <c r="A73" s="15" t="str">
        <f aca="false">IF('Project Register'!$A73="","",ROW('Project Register'!A73))</f>
        <v/>
      </c>
      <c r="B73" s="15" t="str">
        <f aca="false">IF('Project Register'!$A73="","",'Project Register'!B73)</f>
        <v/>
      </c>
      <c r="C73" s="15" t="str">
        <f aca="false">IF('Project Register'!$A73="","",IF(OR('Project Register'!E73="",'Project Register'!F73=""),"",IF('Project Register'!F73&lt;'Project Register'!E73,0,NETWORKDAYS.INTL('Project Register'!E73,'Project Register'!F73,"0000110",Holidays_Leave!$A$3:$A$62))))</f>
        <v/>
      </c>
      <c r="D73" s="15" t="str">
        <f aca="false">IF('Project Register'!$A73="","",('Project Register'!H73&lt;&gt;"")+('Project Register'!J73&lt;&gt;"")+('Project Register'!L73&lt;&gt;""))</f>
        <v/>
      </c>
      <c r="E73" s="16" t="str">
        <f aca="false">IF(OR(C73="",D73="",'Project Register'!G73=""),"",IF(OR(C73=0,D73=0),"",'Project Register'!G73/(C73*D73)))</f>
        <v/>
      </c>
      <c r="F73" s="15" t="str">
        <f aca="false">IF('Project Register'!$A73="","",TRIM(IF(OR('Project Register'!E73="",'Project Register'!F73=""),"Missing date. ","")&amp;IF(AND('Project Register'!E73&lt;&gt;"",'Project Register'!F73&lt;&gt;"",'Project Register'!F73&lt;'Project Register'!E73),"End before start. ","")&amp;IF(NOT(ISNUMBER('Project Register'!G73)),"Effort missing. ","")&amp;IF(D73=0,"No resource. ","")&amp;IF(AND('Project Register'!H73&lt;&gt;"",'Project Register'!I73=""),"Role 1 missing. ","")&amp;IF(AND('Project Register'!J73&lt;&gt;"",'Project Register'!K73=""),"Role 2 missing. ","")&amp;IF(AND('Project Register'!L73&lt;&gt;"",'Project Register'!M73=""),"Role 3 missing. ","")&amp;IF(OR(AND('Project Register'!H73&lt;&gt;"",'Project Register'!H73='Project Register'!J73),AND('Project Register'!H73&lt;&gt;"",'Project Register'!H73='Project Register'!L73),AND('Project Register'!J73&lt;&gt;"",'Project Register'!J73='Project Register'!L73)),"Same person listed twice. ","")&amp;IF(AND('Project Register'!H73&lt;&gt;"",COUNTIF(Resources!$A$2:$A$51,'Project Register'!H73)=0),"Resource 1 not in Resources sheet. ","")&amp;IF(AND('Project Register'!J73&lt;&gt;"",COUNTIF(Resources!$A$2:$A$51,'Project Register'!J73)=0),"Resource 2 not in Resources sheet. ","")&amp;IF(AND('Project Register'!L73&lt;&gt;"",COUNTIF(Resources!$A$2:$A$51,'Project Register'!L73)=0),"Resource 3 not in Resources sheet. ","")&amp;IF('Project Register'!O73="","Test Status missing. ","")&amp;IF(AND(ISNUMBER(E73),E73&gt;1),"This task alone needs over 100% per person. ","")&amp;IF(AND('Project Register'!Q73="Deployed in Live",'Project Register'!R73=""),"Release Date blank (import date will be used). ","")))</f>
        <v/>
      </c>
      <c r="G73" s="17" t="str">
        <f aca="false">IF('Project Register'!$A73="","",IF(F73="","OK","Check"))</f>
        <v/>
      </c>
    </row>
    <row r="74" customFormat="false" ht="15" hidden="false" customHeight="false" outlineLevel="0" collapsed="false">
      <c r="A74" s="15" t="str">
        <f aca="false">IF('Project Register'!$A74="","",ROW('Project Register'!A74))</f>
        <v/>
      </c>
      <c r="B74" s="15" t="str">
        <f aca="false">IF('Project Register'!$A74="","",'Project Register'!B74)</f>
        <v/>
      </c>
      <c r="C74" s="15" t="str">
        <f aca="false">IF('Project Register'!$A74="","",IF(OR('Project Register'!E74="",'Project Register'!F74=""),"",IF('Project Register'!F74&lt;'Project Register'!E74,0,NETWORKDAYS.INTL('Project Register'!E74,'Project Register'!F74,"0000110",Holidays_Leave!$A$3:$A$62))))</f>
        <v/>
      </c>
      <c r="D74" s="15" t="str">
        <f aca="false">IF('Project Register'!$A74="","",('Project Register'!H74&lt;&gt;"")+('Project Register'!J74&lt;&gt;"")+('Project Register'!L74&lt;&gt;""))</f>
        <v/>
      </c>
      <c r="E74" s="16" t="str">
        <f aca="false">IF(OR(C74="",D74="",'Project Register'!G74=""),"",IF(OR(C74=0,D74=0),"",'Project Register'!G74/(C74*D74)))</f>
        <v/>
      </c>
      <c r="F74" s="15" t="str">
        <f aca="false">IF('Project Register'!$A74="","",TRIM(IF(OR('Project Register'!E74="",'Project Register'!F74=""),"Missing date. ","")&amp;IF(AND('Project Register'!E74&lt;&gt;"",'Project Register'!F74&lt;&gt;"",'Project Register'!F74&lt;'Project Register'!E74),"End before start. ","")&amp;IF(NOT(ISNUMBER('Project Register'!G74)),"Effort missing. ","")&amp;IF(D74=0,"No resource. ","")&amp;IF(AND('Project Register'!H74&lt;&gt;"",'Project Register'!I74=""),"Role 1 missing. ","")&amp;IF(AND('Project Register'!J74&lt;&gt;"",'Project Register'!K74=""),"Role 2 missing. ","")&amp;IF(AND('Project Register'!L74&lt;&gt;"",'Project Register'!M74=""),"Role 3 missing. ","")&amp;IF(OR(AND('Project Register'!H74&lt;&gt;"",'Project Register'!H74='Project Register'!J74),AND('Project Register'!H74&lt;&gt;"",'Project Register'!H74='Project Register'!L74),AND('Project Register'!J74&lt;&gt;"",'Project Register'!J74='Project Register'!L74)),"Same person listed twice. ","")&amp;IF(AND('Project Register'!H74&lt;&gt;"",COUNTIF(Resources!$A$2:$A$51,'Project Register'!H74)=0),"Resource 1 not in Resources sheet. ","")&amp;IF(AND('Project Register'!J74&lt;&gt;"",COUNTIF(Resources!$A$2:$A$51,'Project Register'!J74)=0),"Resource 2 not in Resources sheet. ","")&amp;IF(AND('Project Register'!L74&lt;&gt;"",COUNTIF(Resources!$A$2:$A$51,'Project Register'!L74)=0),"Resource 3 not in Resources sheet. ","")&amp;IF('Project Register'!O74="","Test Status missing. ","")&amp;IF(AND(ISNUMBER(E74),E74&gt;1),"This task alone needs over 100% per person. ","")&amp;IF(AND('Project Register'!Q74="Deployed in Live",'Project Register'!R74=""),"Release Date blank (import date will be used). ","")))</f>
        <v/>
      </c>
      <c r="G74" s="17" t="str">
        <f aca="false">IF('Project Register'!$A74="","",IF(F74="","OK","Check"))</f>
        <v/>
      </c>
    </row>
    <row r="75" customFormat="false" ht="15" hidden="false" customHeight="false" outlineLevel="0" collapsed="false">
      <c r="A75" s="15" t="str">
        <f aca="false">IF('Project Register'!$A75="","",ROW('Project Register'!A75))</f>
        <v/>
      </c>
      <c r="B75" s="15" t="str">
        <f aca="false">IF('Project Register'!$A75="","",'Project Register'!B75)</f>
        <v/>
      </c>
      <c r="C75" s="15" t="str">
        <f aca="false">IF('Project Register'!$A75="","",IF(OR('Project Register'!E75="",'Project Register'!F75=""),"",IF('Project Register'!F75&lt;'Project Register'!E75,0,NETWORKDAYS.INTL('Project Register'!E75,'Project Register'!F75,"0000110",Holidays_Leave!$A$3:$A$62))))</f>
        <v/>
      </c>
      <c r="D75" s="15" t="str">
        <f aca="false">IF('Project Register'!$A75="","",('Project Register'!H75&lt;&gt;"")+('Project Register'!J75&lt;&gt;"")+('Project Register'!L75&lt;&gt;""))</f>
        <v/>
      </c>
      <c r="E75" s="16" t="str">
        <f aca="false">IF(OR(C75="",D75="",'Project Register'!G75=""),"",IF(OR(C75=0,D75=0),"",'Project Register'!G75/(C75*D75)))</f>
        <v/>
      </c>
      <c r="F75" s="15" t="str">
        <f aca="false">IF('Project Register'!$A75="","",TRIM(IF(OR('Project Register'!E75="",'Project Register'!F75=""),"Missing date. ","")&amp;IF(AND('Project Register'!E75&lt;&gt;"",'Project Register'!F75&lt;&gt;"",'Project Register'!F75&lt;'Project Register'!E75),"End before start. ","")&amp;IF(NOT(ISNUMBER('Project Register'!G75)),"Effort missing. ","")&amp;IF(D75=0,"No resource. ","")&amp;IF(AND('Project Register'!H75&lt;&gt;"",'Project Register'!I75=""),"Role 1 missing. ","")&amp;IF(AND('Project Register'!J75&lt;&gt;"",'Project Register'!K75=""),"Role 2 missing. ","")&amp;IF(AND('Project Register'!L75&lt;&gt;"",'Project Register'!M75=""),"Role 3 missing. ","")&amp;IF(OR(AND('Project Register'!H75&lt;&gt;"",'Project Register'!H75='Project Register'!J75),AND('Project Register'!H75&lt;&gt;"",'Project Register'!H75='Project Register'!L75),AND('Project Register'!J75&lt;&gt;"",'Project Register'!J75='Project Register'!L75)),"Same person listed twice. ","")&amp;IF(AND('Project Register'!H75&lt;&gt;"",COUNTIF(Resources!$A$2:$A$51,'Project Register'!H75)=0),"Resource 1 not in Resources sheet. ","")&amp;IF(AND('Project Register'!J75&lt;&gt;"",COUNTIF(Resources!$A$2:$A$51,'Project Register'!J75)=0),"Resource 2 not in Resources sheet. ","")&amp;IF(AND('Project Register'!L75&lt;&gt;"",COUNTIF(Resources!$A$2:$A$51,'Project Register'!L75)=0),"Resource 3 not in Resources sheet. ","")&amp;IF('Project Register'!O75="","Test Status missing. ","")&amp;IF(AND(ISNUMBER(E75),E75&gt;1),"This task alone needs over 100% per person. ","")&amp;IF(AND('Project Register'!Q75="Deployed in Live",'Project Register'!R75=""),"Release Date blank (import date will be used). ","")))</f>
        <v/>
      </c>
      <c r="G75" s="17" t="str">
        <f aca="false">IF('Project Register'!$A75="","",IF(F75="","OK","Check"))</f>
        <v/>
      </c>
    </row>
    <row r="76" customFormat="false" ht="15" hidden="false" customHeight="false" outlineLevel="0" collapsed="false">
      <c r="A76" s="15" t="str">
        <f aca="false">IF('Project Register'!$A76="","",ROW('Project Register'!A76))</f>
        <v/>
      </c>
      <c r="B76" s="15" t="str">
        <f aca="false">IF('Project Register'!$A76="","",'Project Register'!B76)</f>
        <v/>
      </c>
      <c r="C76" s="15" t="str">
        <f aca="false">IF('Project Register'!$A76="","",IF(OR('Project Register'!E76="",'Project Register'!F76=""),"",IF('Project Register'!F76&lt;'Project Register'!E76,0,NETWORKDAYS.INTL('Project Register'!E76,'Project Register'!F76,"0000110",Holidays_Leave!$A$3:$A$62))))</f>
        <v/>
      </c>
      <c r="D76" s="15" t="str">
        <f aca="false">IF('Project Register'!$A76="","",('Project Register'!H76&lt;&gt;"")+('Project Register'!J76&lt;&gt;"")+('Project Register'!L76&lt;&gt;""))</f>
        <v/>
      </c>
      <c r="E76" s="16" t="str">
        <f aca="false">IF(OR(C76="",D76="",'Project Register'!G76=""),"",IF(OR(C76=0,D76=0),"",'Project Register'!G76/(C76*D76)))</f>
        <v/>
      </c>
      <c r="F76" s="15" t="str">
        <f aca="false">IF('Project Register'!$A76="","",TRIM(IF(OR('Project Register'!E76="",'Project Register'!F76=""),"Missing date. ","")&amp;IF(AND('Project Register'!E76&lt;&gt;"",'Project Register'!F76&lt;&gt;"",'Project Register'!F76&lt;'Project Register'!E76),"End before start. ","")&amp;IF(NOT(ISNUMBER('Project Register'!G76)),"Effort missing. ","")&amp;IF(D76=0,"No resource. ","")&amp;IF(AND('Project Register'!H76&lt;&gt;"",'Project Register'!I76=""),"Role 1 missing. ","")&amp;IF(AND('Project Register'!J76&lt;&gt;"",'Project Register'!K76=""),"Role 2 missing. ","")&amp;IF(AND('Project Register'!L76&lt;&gt;"",'Project Register'!M76=""),"Role 3 missing. ","")&amp;IF(OR(AND('Project Register'!H76&lt;&gt;"",'Project Register'!H76='Project Register'!J76),AND('Project Register'!H76&lt;&gt;"",'Project Register'!H76='Project Register'!L76),AND('Project Register'!J76&lt;&gt;"",'Project Register'!J76='Project Register'!L76)),"Same person listed twice. ","")&amp;IF(AND('Project Register'!H76&lt;&gt;"",COUNTIF(Resources!$A$2:$A$51,'Project Register'!H76)=0),"Resource 1 not in Resources sheet. ","")&amp;IF(AND('Project Register'!J76&lt;&gt;"",COUNTIF(Resources!$A$2:$A$51,'Project Register'!J76)=0),"Resource 2 not in Resources sheet. ","")&amp;IF(AND('Project Register'!L76&lt;&gt;"",COUNTIF(Resources!$A$2:$A$51,'Project Register'!L76)=0),"Resource 3 not in Resources sheet. ","")&amp;IF('Project Register'!O76="","Test Status missing. ","")&amp;IF(AND(ISNUMBER(E76),E76&gt;1),"This task alone needs over 100% per person. ","")&amp;IF(AND('Project Register'!Q76="Deployed in Live",'Project Register'!R76=""),"Release Date blank (import date will be used). ","")))</f>
        <v/>
      </c>
      <c r="G76" s="17" t="str">
        <f aca="false">IF('Project Register'!$A76="","",IF(F76="","OK","Check"))</f>
        <v/>
      </c>
    </row>
    <row r="77" customFormat="false" ht="15" hidden="false" customHeight="false" outlineLevel="0" collapsed="false">
      <c r="A77" s="15" t="str">
        <f aca="false">IF('Project Register'!$A77="","",ROW('Project Register'!A77))</f>
        <v/>
      </c>
      <c r="B77" s="15" t="str">
        <f aca="false">IF('Project Register'!$A77="","",'Project Register'!B77)</f>
        <v/>
      </c>
      <c r="C77" s="15" t="str">
        <f aca="false">IF('Project Register'!$A77="","",IF(OR('Project Register'!E77="",'Project Register'!F77=""),"",IF('Project Register'!F77&lt;'Project Register'!E77,0,NETWORKDAYS.INTL('Project Register'!E77,'Project Register'!F77,"0000110",Holidays_Leave!$A$3:$A$62))))</f>
        <v/>
      </c>
      <c r="D77" s="15" t="str">
        <f aca="false">IF('Project Register'!$A77="","",('Project Register'!H77&lt;&gt;"")+('Project Register'!J77&lt;&gt;"")+('Project Register'!L77&lt;&gt;""))</f>
        <v/>
      </c>
      <c r="E77" s="16" t="str">
        <f aca="false">IF(OR(C77="",D77="",'Project Register'!G77=""),"",IF(OR(C77=0,D77=0),"",'Project Register'!G77/(C77*D77)))</f>
        <v/>
      </c>
      <c r="F77" s="15" t="str">
        <f aca="false">IF('Project Register'!$A77="","",TRIM(IF(OR('Project Register'!E77="",'Project Register'!F77=""),"Missing date. ","")&amp;IF(AND('Project Register'!E77&lt;&gt;"",'Project Register'!F77&lt;&gt;"",'Project Register'!F77&lt;'Project Register'!E77),"End before start. ","")&amp;IF(NOT(ISNUMBER('Project Register'!G77)),"Effort missing. ","")&amp;IF(D77=0,"No resource. ","")&amp;IF(AND('Project Register'!H77&lt;&gt;"",'Project Register'!I77=""),"Role 1 missing. ","")&amp;IF(AND('Project Register'!J77&lt;&gt;"",'Project Register'!K77=""),"Role 2 missing. ","")&amp;IF(AND('Project Register'!L77&lt;&gt;"",'Project Register'!M77=""),"Role 3 missing. ","")&amp;IF(OR(AND('Project Register'!H77&lt;&gt;"",'Project Register'!H77='Project Register'!J77),AND('Project Register'!H77&lt;&gt;"",'Project Register'!H77='Project Register'!L77),AND('Project Register'!J77&lt;&gt;"",'Project Register'!J77='Project Register'!L77)),"Same person listed twice. ","")&amp;IF(AND('Project Register'!H77&lt;&gt;"",COUNTIF(Resources!$A$2:$A$51,'Project Register'!H77)=0),"Resource 1 not in Resources sheet. ","")&amp;IF(AND('Project Register'!J77&lt;&gt;"",COUNTIF(Resources!$A$2:$A$51,'Project Register'!J77)=0),"Resource 2 not in Resources sheet. ","")&amp;IF(AND('Project Register'!L77&lt;&gt;"",COUNTIF(Resources!$A$2:$A$51,'Project Register'!L77)=0),"Resource 3 not in Resources sheet. ","")&amp;IF('Project Register'!O77="","Test Status missing. ","")&amp;IF(AND(ISNUMBER(E77),E77&gt;1),"This task alone needs over 100% per person. ","")&amp;IF(AND('Project Register'!Q77="Deployed in Live",'Project Register'!R77=""),"Release Date blank (import date will be used). ","")))</f>
        <v/>
      </c>
      <c r="G77" s="17" t="str">
        <f aca="false">IF('Project Register'!$A77="","",IF(F77="","OK","Check"))</f>
        <v/>
      </c>
    </row>
    <row r="78" customFormat="false" ht="15" hidden="false" customHeight="false" outlineLevel="0" collapsed="false">
      <c r="A78" s="15" t="str">
        <f aca="false">IF('Project Register'!$A78="","",ROW('Project Register'!A78))</f>
        <v/>
      </c>
      <c r="B78" s="15" t="str">
        <f aca="false">IF('Project Register'!$A78="","",'Project Register'!B78)</f>
        <v/>
      </c>
      <c r="C78" s="15" t="str">
        <f aca="false">IF('Project Register'!$A78="","",IF(OR('Project Register'!E78="",'Project Register'!F78=""),"",IF('Project Register'!F78&lt;'Project Register'!E78,0,NETWORKDAYS.INTL('Project Register'!E78,'Project Register'!F78,"0000110",Holidays_Leave!$A$3:$A$62))))</f>
        <v/>
      </c>
      <c r="D78" s="15" t="str">
        <f aca="false">IF('Project Register'!$A78="","",('Project Register'!H78&lt;&gt;"")+('Project Register'!J78&lt;&gt;"")+('Project Register'!L78&lt;&gt;""))</f>
        <v/>
      </c>
      <c r="E78" s="16" t="str">
        <f aca="false">IF(OR(C78="",D78="",'Project Register'!G78=""),"",IF(OR(C78=0,D78=0),"",'Project Register'!G78/(C78*D78)))</f>
        <v/>
      </c>
      <c r="F78" s="15" t="str">
        <f aca="false">IF('Project Register'!$A78="","",TRIM(IF(OR('Project Register'!E78="",'Project Register'!F78=""),"Missing date. ","")&amp;IF(AND('Project Register'!E78&lt;&gt;"",'Project Register'!F78&lt;&gt;"",'Project Register'!F78&lt;'Project Register'!E78),"End before start. ","")&amp;IF(NOT(ISNUMBER('Project Register'!G78)),"Effort missing. ","")&amp;IF(D78=0,"No resource. ","")&amp;IF(AND('Project Register'!H78&lt;&gt;"",'Project Register'!I78=""),"Role 1 missing. ","")&amp;IF(AND('Project Register'!J78&lt;&gt;"",'Project Register'!K78=""),"Role 2 missing. ","")&amp;IF(AND('Project Register'!L78&lt;&gt;"",'Project Register'!M78=""),"Role 3 missing. ","")&amp;IF(OR(AND('Project Register'!H78&lt;&gt;"",'Project Register'!H78='Project Register'!J78),AND('Project Register'!H78&lt;&gt;"",'Project Register'!H78='Project Register'!L78),AND('Project Register'!J78&lt;&gt;"",'Project Register'!J78='Project Register'!L78)),"Same person listed twice. ","")&amp;IF(AND('Project Register'!H78&lt;&gt;"",COUNTIF(Resources!$A$2:$A$51,'Project Register'!H78)=0),"Resource 1 not in Resources sheet. ","")&amp;IF(AND('Project Register'!J78&lt;&gt;"",COUNTIF(Resources!$A$2:$A$51,'Project Register'!J78)=0),"Resource 2 not in Resources sheet. ","")&amp;IF(AND('Project Register'!L78&lt;&gt;"",COUNTIF(Resources!$A$2:$A$51,'Project Register'!L78)=0),"Resource 3 not in Resources sheet. ","")&amp;IF('Project Register'!O78="","Test Status missing. ","")&amp;IF(AND(ISNUMBER(E78),E78&gt;1),"This task alone needs over 100% per person. ","")&amp;IF(AND('Project Register'!Q78="Deployed in Live",'Project Register'!R78=""),"Release Date blank (import date will be used). ","")))</f>
        <v/>
      </c>
      <c r="G78" s="17" t="str">
        <f aca="false">IF('Project Register'!$A78="","",IF(F78="","OK","Check"))</f>
        <v/>
      </c>
    </row>
    <row r="79" customFormat="false" ht="15" hidden="false" customHeight="false" outlineLevel="0" collapsed="false">
      <c r="A79" s="15" t="str">
        <f aca="false">IF('Project Register'!$A79="","",ROW('Project Register'!A79))</f>
        <v/>
      </c>
      <c r="B79" s="15" t="str">
        <f aca="false">IF('Project Register'!$A79="","",'Project Register'!B79)</f>
        <v/>
      </c>
      <c r="C79" s="15" t="str">
        <f aca="false">IF('Project Register'!$A79="","",IF(OR('Project Register'!E79="",'Project Register'!F79=""),"",IF('Project Register'!F79&lt;'Project Register'!E79,0,NETWORKDAYS.INTL('Project Register'!E79,'Project Register'!F79,"0000110",Holidays_Leave!$A$3:$A$62))))</f>
        <v/>
      </c>
      <c r="D79" s="15" t="str">
        <f aca="false">IF('Project Register'!$A79="","",('Project Register'!H79&lt;&gt;"")+('Project Register'!J79&lt;&gt;"")+('Project Register'!L79&lt;&gt;""))</f>
        <v/>
      </c>
      <c r="E79" s="16" t="str">
        <f aca="false">IF(OR(C79="",D79="",'Project Register'!G79=""),"",IF(OR(C79=0,D79=0),"",'Project Register'!G79/(C79*D79)))</f>
        <v/>
      </c>
      <c r="F79" s="15" t="str">
        <f aca="false">IF('Project Register'!$A79="","",TRIM(IF(OR('Project Register'!E79="",'Project Register'!F79=""),"Missing date. ","")&amp;IF(AND('Project Register'!E79&lt;&gt;"",'Project Register'!F79&lt;&gt;"",'Project Register'!F79&lt;'Project Register'!E79),"End before start. ","")&amp;IF(NOT(ISNUMBER('Project Register'!G79)),"Effort missing. ","")&amp;IF(D79=0,"No resource. ","")&amp;IF(AND('Project Register'!H79&lt;&gt;"",'Project Register'!I79=""),"Role 1 missing. ","")&amp;IF(AND('Project Register'!J79&lt;&gt;"",'Project Register'!K79=""),"Role 2 missing. ","")&amp;IF(AND('Project Register'!L79&lt;&gt;"",'Project Register'!M79=""),"Role 3 missing. ","")&amp;IF(OR(AND('Project Register'!H79&lt;&gt;"",'Project Register'!H79='Project Register'!J79),AND('Project Register'!H79&lt;&gt;"",'Project Register'!H79='Project Register'!L79),AND('Project Register'!J79&lt;&gt;"",'Project Register'!J79='Project Register'!L79)),"Same person listed twice. ","")&amp;IF(AND('Project Register'!H79&lt;&gt;"",COUNTIF(Resources!$A$2:$A$51,'Project Register'!H79)=0),"Resource 1 not in Resources sheet. ","")&amp;IF(AND('Project Register'!J79&lt;&gt;"",COUNTIF(Resources!$A$2:$A$51,'Project Register'!J79)=0),"Resource 2 not in Resources sheet. ","")&amp;IF(AND('Project Register'!L79&lt;&gt;"",COUNTIF(Resources!$A$2:$A$51,'Project Register'!L79)=0),"Resource 3 not in Resources sheet. ","")&amp;IF('Project Register'!O79="","Test Status missing. ","")&amp;IF(AND(ISNUMBER(E79),E79&gt;1),"This task alone needs over 100% per person. ","")&amp;IF(AND('Project Register'!Q79="Deployed in Live",'Project Register'!R79=""),"Release Date blank (import date will be used). ","")))</f>
        <v/>
      </c>
      <c r="G79" s="17" t="str">
        <f aca="false">IF('Project Register'!$A79="","",IF(F79="","OK","Check"))</f>
        <v/>
      </c>
    </row>
    <row r="80" customFormat="false" ht="15" hidden="false" customHeight="false" outlineLevel="0" collapsed="false">
      <c r="A80" s="15" t="str">
        <f aca="false">IF('Project Register'!$A80="","",ROW('Project Register'!A80))</f>
        <v/>
      </c>
      <c r="B80" s="15" t="str">
        <f aca="false">IF('Project Register'!$A80="","",'Project Register'!B80)</f>
        <v/>
      </c>
      <c r="C80" s="15" t="str">
        <f aca="false">IF('Project Register'!$A80="","",IF(OR('Project Register'!E80="",'Project Register'!F80=""),"",IF('Project Register'!F80&lt;'Project Register'!E80,0,NETWORKDAYS.INTL('Project Register'!E80,'Project Register'!F80,"0000110",Holidays_Leave!$A$3:$A$62))))</f>
        <v/>
      </c>
      <c r="D80" s="15" t="str">
        <f aca="false">IF('Project Register'!$A80="","",('Project Register'!H80&lt;&gt;"")+('Project Register'!J80&lt;&gt;"")+('Project Register'!L80&lt;&gt;""))</f>
        <v/>
      </c>
      <c r="E80" s="16" t="str">
        <f aca="false">IF(OR(C80="",D80="",'Project Register'!G80=""),"",IF(OR(C80=0,D80=0),"",'Project Register'!G80/(C80*D80)))</f>
        <v/>
      </c>
      <c r="F80" s="15" t="str">
        <f aca="false">IF('Project Register'!$A80="","",TRIM(IF(OR('Project Register'!E80="",'Project Register'!F80=""),"Missing date. ","")&amp;IF(AND('Project Register'!E80&lt;&gt;"",'Project Register'!F80&lt;&gt;"",'Project Register'!F80&lt;'Project Register'!E80),"End before start. ","")&amp;IF(NOT(ISNUMBER('Project Register'!G80)),"Effort missing. ","")&amp;IF(D80=0,"No resource. ","")&amp;IF(AND('Project Register'!H80&lt;&gt;"",'Project Register'!I80=""),"Role 1 missing. ","")&amp;IF(AND('Project Register'!J80&lt;&gt;"",'Project Register'!K80=""),"Role 2 missing. ","")&amp;IF(AND('Project Register'!L80&lt;&gt;"",'Project Register'!M80=""),"Role 3 missing. ","")&amp;IF(OR(AND('Project Register'!H80&lt;&gt;"",'Project Register'!H80='Project Register'!J80),AND('Project Register'!H80&lt;&gt;"",'Project Register'!H80='Project Register'!L80),AND('Project Register'!J80&lt;&gt;"",'Project Register'!J80='Project Register'!L80)),"Same person listed twice. ","")&amp;IF(AND('Project Register'!H80&lt;&gt;"",COUNTIF(Resources!$A$2:$A$51,'Project Register'!H80)=0),"Resource 1 not in Resources sheet. ","")&amp;IF(AND('Project Register'!J80&lt;&gt;"",COUNTIF(Resources!$A$2:$A$51,'Project Register'!J80)=0),"Resource 2 not in Resources sheet. ","")&amp;IF(AND('Project Register'!L80&lt;&gt;"",COUNTIF(Resources!$A$2:$A$51,'Project Register'!L80)=0),"Resource 3 not in Resources sheet. ","")&amp;IF('Project Register'!O80="","Test Status missing. ","")&amp;IF(AND(ISNUMBER(E80),E80&gt;1),"This task alone needs over 100% per person. ","")&amp;IF(AND('Project Register'!Q80="Deployed in Live",'Project Register'!R80=""),"Release Date blank (import date will be used). ","")))</f>
        <v/>
      </c>
      <c r="G80" s="17" t="str">
        <f aca="false">IF('Project Register'!$A80="","",IF(F80="","OK","Check"))</f>
        <v/>
      </c>
    </row>
    <row r="81" customFormat="false" ht="15" hidden="false" customHeight="false" outlineLevel="0" collapsed="false">
      <c r="A81" s="15" t="str">
        <f aca="false">IF('Project Register'!$A81="","",ROW('Project Register'!A81))</f>
        <v/>
      </c>
      <c r="B81" s="15" t="str">
        <f aca="false">IF('Project Register'!$A81="","",'Project Register'!B81)</f>
        <v/>
      </c>
      <c r="C81" s="15" t="str">
        <f aca="false">IF('Project Register'!$A81="","",IF(OR('Project Register'!E81="",'Project Register'!F81=""),"",IF('Project Register'!F81&lt;'Project Register'!E81,0,NETWORKDAYS.INTL('Project Register'!E81,'Project Register'!F81,"0000110",Holidays_Leave!$A$3:$A$62))))</f>
        <v/>
      </c>
      <c r="D81" s="15" t="str">
        <f aca="false">IF('Project Register'!$A81="","",('Project Register'!H81&lt;&gt;"")+('Project Register'!J81&lt;&gt;"")+('Project Register'!L81&lt;&gt;""))</f>
        <v/>
      </c>
      <c r="E81" s="16" t="str">
        <f aca="false">IF(OR(C81="",D81="",'Project Register'!G81=""),"",IF(OR(C81=0,D81=0),"",'Project Register'!G81/(C81*D81)))</f>
        <v/>
      </c>
      <c r="F81" s="15" t="str">
        <f aca="false">IF('Project Register'!$A81="","",TRIM(IF(OR('Project Register'!E81="",'Project Register'!F81=""),"Missing date. ","")&amp;IF(AND('Project Register'!E81&lt;&gt;"",'Project Register'!F81&lt;&gt;"",'Project Register'!F81&lt;'Project Register'!E81),"End before start. ","")&amp;IF(NOT(ISNUMBER('Project Register'!G81)),"Effort missing. ","")&amp;IF(D81=0,"No resource. ","")&amp;IF(AND('Project Register'!H81&lt;&gt;"",'Project Register'!I81=""),"Role 1 missing. ","")&amp;IF(AND('Project Register'!J81&lt;&gt;"",'Project Register'!K81=""),"Role 2 missing. ","")&amp;IF(AND('Project Register'!L81&lt;&gt;"",'Project Register'!M81=""),"Role 3 missing. ","")&amp;IF(OR(AND('Project Register'!H81&lt;&gt;"",'Project Register'!H81='Project Register'!J81),AND('Project Register'!H81&lt;&gt;"",'Project Register'!H81='Project Register'!L81),AND('Project Register'!J81&lt;&gt;"",'Project Register'!J81='Project Register'!L81)),"Same person listed twice. ","")&amp;IF(AND('Project Register'!H81&lt;&gt;"",COUNTIF(Resources!$A$2:$A$51,'Project Register'!H81)=0),"Resource 1 not in Resources sheet. ","")&amp;IF(AND('Project Register'!J81&lt;&gt;"",COUNTIF(Resources!$A$2:$A$51,'Project Register'!J81)=0),"Resource 2 not in Resources sheet. ","")&amp;IF(AND('Project Register'!L81&lt;&gt;"",COUNTIF(Resources!$A$2:$A$51,'Project Register'!L81)=0),"Resource 3 not in Resources sheet. ","")&amp;IF('Project Register'!O81="","Test Status missing. ","")&amp;IF(AND(ISNUMBER(E81),E81&gt;1),"This task alone needs over 100% per person. ","")&amp;IF(AND('Project Register'!Q81="Deployed in Live",'Project Register'!R81=""),"Release Date blank (import date will be used). ","")))</f>
        <v/>
      </c>
      <c r="G81" s="17" t="str">
        <f aca="false">IF('Project Register'!$A81="","",IF(F81="","OK","Check"))</f>
        <v/>
      </c>
    </row>
    <row r="82" customFormat="false" ht="15" hidden="false" customHeight="false" outlineLevel="0" collapsed="false">
      <c r="A82" s="15" t="str">
        <f aca="false">IF('Project Register'!$A82="","",ROW('Project Register'!A82))</f>
        <v/>
      </c>
      <c r="B82" s="15" t="str">
        <f aca="false">IF('Project Register'!$A82="","",'Project Register'!B82)</f>
        <v/>
      </c>
      <c r="C82" s="15" t="str">
        <f aca="false">IF('Project Register'!$A82="","",IF(OR('Project Register'!E82="",'Project Register'!F82=""),"",IF('Project Register'!F82&lt;'Project Register'!E82,0,NETWORKDAYS.INTL('Project Register'!E82,'Project Register'!F82,"0000110",Holidays_Leave!$A$3:$A$62))))</f>
        <v/>
      </c>
      <c r="D82" s="15" t="str">
        <f aca="false">IF('Project Register'!$A82="","",('Project Register'!H82&lt;&gt;"")+('Project Register'!J82&lt;&gt;"")+('Project Register'!L82&lt;&gt;""))</f>
        <v/>
      </c>
      <c r="E82" s="16" t="str">
        <f aca="false">IF(OR(C82="",D82="",'Project Register'!G82=""),"",IF(OR(C82=0,D82=0),"",'Project Register'!G82/(C82*D82)))</f>
        <v/>
      </c>
      <c r="F82" s="15" t="str">
        <f aca="false">IF('Project Register'!$A82="","",TRIM(IF(OR('Project Register'!E82="",'Project Register'!F82=""),"Missing date. ","")&amp;IF(AND('Project Register'!E82&lt;&gt;"",'Project Register'!F82&lt;&gt;"",'Project Register'!F82&lt;'Project Register'!E82),"End before start. ","")&amp;IF(NOT(ISNUMBER('Project Register'!G82)),"Effort missing. ","")&amp;IF(D82=0,"No resource. ","")&amp;IF(AND('Project Register'!H82&lt;&gt;"",'Project Register'!I82=""),"Role 1 missing. ","")&amp;IF(AND('Project Register'!J82&lt;&gt;"",'Project Register'!K82=""),"Role 2 missing. ","")&amp;IF(AND('Project Register'!L82&lt;&gt;"",'Project Register'!M82=""),"Role 3 missing. ","")&amp;IF(OR(AND('Project Register'!H82&lt;&gt;"",'Project Register'!H82='Project Register'!J82),AND('Project Register'!H82&lt;&gt;"",'Project Register'!H82='Project Register'!L82),AND('Project Register'!J82&lt;&gt;"",'Project Register'!J82='Project Register'!L82)),"Same person listed twice. ","")&amp;IF(AND('Project Register'!H82&lt;&gt;"",COUNTIF(Resources!$A$2:$A$51,'Project Register'!H82)=0),"Resource 1 not in Resources sheet. ","")&amp;IF(AND('Project Register'!J82&lt;&gt;"",COUNTIF(Resources!$A$2:$A$51,'Project Register'!J82)=0),"Resource 2 not in Resources sheet. ","")&amp;IF(AND('Project Register'!L82&lt;&gt;"",COUNTIF(Resources!$A$2:$A$51,'Project Register'!L82)=0),"Resource 3 not in Resources sheet. ","")&amp;IF('Project Register'!O82="","Test Status missing. ","")&amp;IF(AND(ISNUMBER(E82),E82&gt;1),"This task alone needs over 100% per person. ","")&amp;IF(AND('Project Register'!Q82="Deployed in Live",'Project Register'!R82=""),"Release Date blank (import date will be used). ","")))</f>
        <v/>
      </c>
      <c r="G82" s="17" t="str">
        <f aca="false">IF('Project Register'!$A82="","",IF(F82="","OK","Check"))</f>
        <v/>
      </c>
    </row>
    <row r="83" customFormat="false" ht="15" hidden="false" customHeight="false" outlineLevel="0" collapsed="false">
      <c r="A83" s="15" t="str">
        <f aca="false">IF('Project Register'!$A83="","",ROW('Project Register'!A83))</f>
        <v/>
      </c>
      <c r="B83" s="15" t="str">
        <f aca="false">IF('Project Register'!$A83="","",'Project Register'!B83)</f>
        <v/>
      </c>
      <c r="C83" s="15" t="str">
        <f aca="false">IF('Project Register'!$A83="","",IF(OR('Project Register'!E83="",'Project Register'!F83=""),"",IF('Project Register'!F83&lt;'Project Register'!E83,0,NETWORKDAYS.INTL('Project Register'!E83,'Project Register'!F83,"0000110",Holidays_Leave!$A$3:$A$62))))</f>
        <v/>
      </c>
      <c r="D83" s="15" t="str">
        <f aca="false">IF('Project Register'!$A83="","",('Project Register'!H83&lt;&gt;"")+('Project Register'!J83&lt;&gt;"")+('Project Register'!L83&lt;&gt;""))</f>
        <v/>
      </c>
      <c r="E83" s="16" t="str">
        <f aca="false">IF(OR(C83="",D83="",'Project Register'!G83=""),"",IF(OR(C83=0,D83=0),"",'Project Register'!G83/(C83*D83)))</f>
        <v/>
      </c>
      <c r="F83" s="15" t="str">
        <f aca="false">IF('Project Register'!$A83="","",TRIM(IF(OR('Project Register'!E83="",'Project Register'!F83=""),"Missing date. ","")&amp;IF(AND('Project Register'!E83&lt;&gt;"",'Project Register'!F83&lt;&gt;"",'Project Register'!F83&lt;'Project Register'!E83),"End before start. ","")&amp;IF(NOT(ISNUMBER('Project Register'!G83)),"Effort missing. ","")&amp;IF(D83=0,"No resource. ","")&amp;IF(AND('Project Register'!H83&lt;&gt;"",'Project Register'!I83=""),"Role 1 missing. ","")&amp;IF(AND('Project Register'!J83&lt;&gt;"",'Project Register'!K83=""),"Role 2 missing. ","")&amp;IF(AND('Project Register'!L83&lt;&gt;"",'Project Register'!M83=""),"Role 3 missing. ","")&amp;IF(OR(AND('Project Register'!H83&lt;&gt;"",'Project Register'!H83='Project Register'!J83),AND('Project Register'!H83&lt;&gt;"",'Project Register'!H83='Project Register'!L83),AND('Project Register'!J83&lt;&gt;"",'Project Register'!J83='Project Register'!L83)),"Same person listed twice. ","")&amp;IF(AND('Project Register'!H83&lt;&gt;"",COUNTIF(Resources!$A$2:$A$51,'Project Register'!H83)=0),"Resource 1 not in Resources sheet. ","")&amp;IF(AND('Project Register'!J83&lt;&gt;"",COUNTIF(Resources!$A$2:$A$51,'Project Register'!J83)=0),"Resource 2 not in Resources sheet. ","")&amp;IF(AND('Project Register'!L83&lt;&gt;"",COUNTIF(Resources!$A$2:$A$51,'Project Register'!L83)=0),"Resource 3 not in Resources sheet. ","")&amp;IF('Project Register'!O83="","Test Status missing. ","")&amp;IF(AND(ISNUMBER(E83),E83&gt;1),"This task alone needs over 100% per person. ","")&amp;IF(AND('Project Register'!Q83="Deployed in Live",'Project Register'!R83=""),"Release Date blank (import date will be used). ","")))</f>
        <v/>
      </c>
      <c r="G83" s="17" t="str">
        <f aca="false">IF('Project Register'!$A83="","",IF(F83="","OK","Check"))</f>
        <v/>
      </c>
    </row>
    <row r="84" customFormat="false" ht="15" hidden="false" customHeight="false" outlineLevel="0" collapsed="false">
      <c r="A84" s="15" t="str">
        <f aca="false">IF('Project Register'!$A84="","",ROW('Project Register'!A84))</f>
        <v/>
      </c>
      <c r="B84" s="15" t="str">
        <f aca="false">IF('Project Register'!$A84="","",'Project Register'!B84)</f>
        <v/>
      </c>
      <c r="C84" s="15" t="str">
        <f aca="false">IF('Project Register'!$A84="","",IF(OR('Project Register'!E84="",'Project Register'!F84=""),"",IF('Project Register'!F84&lt;'Project Register'!E84,0,NETWORKDAYS.INTL('Project Register'!E84,'Project Register'!F84,"0000110",Holidays_Leave!$A$3:$A$62))))</f>
        <v/>
      </c>
      <c r="D84" s="15" t="str">
        <f aca="false">IF('Project Register'!$A84="","",('Project Register'!H84&lt;&gt;"")+('Project Register'!J84&lt;&gt;"")+('Project Register'!L84&lt;&gt;""))</f>
        <v/>
      </c>
      <c r="E84" s="16" t="str">
        <f aca="false">IF(OR(C84="",D84="",'Project Register'!G84=""),"",IF(OR(C84=0,D84=0),"",'Project Register'!G84/(C84*D84)))</f>
        <v/>
      </c>
      <c r="F84" s="15" t="str">
        <f aca="false">IF('Project Register'!$A84="","",TRIM(IF(OR('Project Register'!E84="",'Project Register'!F84=""),"Missing date. ","")&amp;IF(AND('Project Register'!E84&lt;&gt;"",'Project Register'!F84&lt;&gt;"",'Project Register'!F84&lt;'Project Register'!E84),"End before start. ","")&amp;IF(NOT(ISNUMBER('Project Register'!G84)),"Effort missing. ","")&amp;IF(D84=0,"No resource. ","")&amp;IF(AND('Project Register'!H84&lt;&gt;"",'Project Register'!I84=""),"Role 1 missing. ","")&amp;IF(AND('Project Register'!J84&lt;&gt;"",'Project Register'!K84=""),"Role 2 missing. ","")&amp;IF(AND('Project Register'!L84&lt;&gt;"",'Project Register'!M84=""),"Role 3 missing. ","")&amp;IF(OR(AND('Project Register'!H84&lt;&gt;"",'Project Register'!H84='Project Register'!J84),AND('Project Register'!H84&lt;&gt;"",'Project Register'!H84='Project Register'!L84),AND('Project Register'!J84&lt;&gt;"",'Project Register'!J84='Project Register'!L84)),"Same person listed twice. ","")&amp;IF(AND('Project Register'!H84&lt;&gt;"",COUNTIF(Resources!$A$2:$A$51,'Project Register'!H84)=0),"Resource 1 not in Resources sheet. ","")&amp;IF(AND('Project Register'!J84&lt;&gt;"",COUNTIF(Resources!$A$2:$A$51,'Project Register'!J84)=0),"Resource 2 not in Resources sheet. ","")&amp;IF(AND('Project Register'!L84&lt;&gt;"",COUNTIF(Resources!$A$2:$A$51,'Project Register'!L84)=0),"Resource 3 not in Resources sheet. ","")&amp;IF('Project Register'!O84="","Test Status missing. ","")&amp;IF(AND(ISNUMBER(E84),E84&gt;1),"This task alone needs over 100% per person. ","")&amp;IF(AND('Project Register'!Q84="Deployed in Live",'Project Register'!R84=""),"Release Date blank (import date will be used). ","")))</f>
        <v/>
      </c>
      <c r="G84" s="17" t="str">
        <f aca="false">IF('Project Register'!$A84="","",IF(F84="","OK","Check"))</f>
        <v/>
      </c>
    </row>
    <row r="85" customFormat="false" ht="15" hidden="false" customHeight="false" outlineLevel="0" collapsed="false">
      <c r="A85" s="15" t="str">
        <f aca="false">IF('Project Register'!$A85="","",ROW('Project Register'!A85))</f>
        <v/>
      </c>
      <c r="B85" s="15" t="str">
        <f aca="false">IF('Project Register'!$A85="","",'Project Register'!B85)</f>
        <v/>
      </c>
      <c r="C85" s="15" t="str">
        <f aca="false">IF('Project Register'!$A85="","",IF(OR('Project Register'!E85="",'Project Register'!F85=""),"",IF('Project Register'!F85&lt;'Project Register'!E85,0,NETWORKDAYS.INTL('Project Register'!E85,'Project Register'!F85,"0000110",Holidays_Leave!$A$3:$A$62))))</f>
        <v/>
      </c>
      <c r="D85" s="15" t="str">
        <f aca="false">IF('Project Register'!$A85="","",('Project Register'!H85&lt;&gt;"")+('Project Register'!J85&lt;&gt;"")+('Project Register'!L85&lt;&gt;""))</f>
        <v/>
      </c>
      <c r="E85" s="16" t="str">
        <f aca="false">IF(OR(C85="",D85="",'Project Register'!G85=""),"",IF(OR(C85=0,D85=0),"",'Project Register'!G85/(C85*D85)))</f>
        <v/>
      </c>
      <c r="F85" s="15" t="str">
        <f aca="false">IF('Project Register'!$A85="","",TRIM(IF(OR('Project Register'!E85="",'Project Register'!F85=""),"Missing date. ","")&amp;IF(AND('Project Register'!E85&lt;&gt;"",'Project Register'!F85&lt;&gt;"",'Project Register'!F85&lt;'Project Register'!E85),"End before start. ","")&amp;IF(NOT(ISNUMBER('Project Register'!G85)),"Effort missing. ","")&amp;IF(D85=0,"No resource. ","")&amp;IF(AND('Project Register'!H85&lt;&gt;"",'Project Register'!I85=""),"Role 1 missing. ","")&amp;IF(AND('Project Register'!J85&lt;&gt;"",'Project Register'!K85=""),"Role 2 missing. ","")&amp;IF(AND('Project Register'!L85&lt;&gt;"",'Project Register'!M85=""),"Role 3 missing. ","")&amp;IF(OR(AND('Project Register'!H85&lt;&gt;"",'Project Register'!H85='Project Register'!J85),AND('Project Register'!H85&lt;&gt;"",'Project Register'!H85='Project Register'!L85),AND('Project Register'!J85&lt;&gt;"",'Project Register'!J85='Project Register'!L85)),"Same person listed twice. ","")&amp;IF(AND('Project Register'!H85&lt;&gt;"",COUNTIF(Resources!$A$2:$A$51,'Project Register'!H85)=0),"Resource 1 not in Resources sheet. ","")&amp;IF(AND('Project Register'!J85&lt;&gt;"",COUNTIF(Resources!$A$2:$A$51,'Project Register'!J85)=0),"Resource 2 not in Resources sheet. ","")&amp;IF(AND('Project Register'!L85&lt;&gt;"",COUNTIF(Resources!$A$2:$A$51,'Project Register'!L85)=0),"Resource 3 not in Resources sheet. ","")&amp;IF('Project Register'!O85="","Test Status missing. ","")&amp;IF(AND(ISNUMBER(E85),E85&gt;1),"This task alone needs over 100% per person. ","")&amp;IF(AND('Project Register'!Q85="Deployed in Live",'Project Register'!R85=""),"Release Date blank (import date will be used). ","")))</f>
        <v/>
      </c>
      <c r="G85" s="17" t="str">
        <f aca="false">IF('Project Register'!$A85="","",IF(F85="","OK","Check"))</f>
        <v/>
      </c>
    </row>
    <row r="86" customFormat="false" ht="15" hidden="false" customHeight="false" outlineLevel="0" collapsed="false">
      <c r="A86" s="15" t="str">
        <f aca="false">IF('Project Register'!$A86="","",ROW('Project Register'!A86))</f>
        <v/>
      </c>
      <c r="B86" s="15" t="str">
        <f aca="false">IF('Project Register'!$A86="","",'Project Register'!B86)</f>
        <v/>
      </c>
      <c r="C86" s="15" t="str">
        <f aca="false">IF('Project Register'!$A86="","",IF(OR('Project Register'!E86="",'Project Register'!F86=""),"",IF('Project Register'!F86&lt;'Project Register'!E86,0,NETWORKDAYS.INTL('Project Register'!E86,'Project Register'!F86,"0000110",Holidays_Leave!$A$3:$A$62))))</f>
        <v/>
      </c>
      <c r="D86" s="15" t="str">
        <f aca="false">IF('Project Register'!$A86="","",('Project Register'!H86&lt;&gt;"")+('Project Register'!J86&lt;&gt;"")+('Project Register'!L86&lt;&gt;""))</f>
        <v/>
      </c>
      <c r="E86" s="16" t="str">
        <f aca="false">IF(OR(C86="",D86="",'Project Register'!G86=""),"",IF(OR(C86=0,D86=0),"",'Project Register'!G86/(C86*D86)))</f>
        <v/>
      </c>
      <c r="F86" s="15" t="str">
        <f aca="false">IF('Project Register'!$A86="","",TRIM(IF(OR('Project Register'!E86="",'Project Register'!F86=""),"Missing date. ","")&amp;IF(AND('Project Register'!E86&lt;&gt;"",'Project Register'!F86&lt;&gt;"",'Project Register'!F86&lt;'Project Register'!E86),"End before start. ","")&amp;IF(NOT(ISNUMBER('Project Register'!G86)),"Effort missing. ","")&amp;IF(D86=0,"No resource. ","")&amp;IF(AND('Project Register'!H86&lt;&gt;"",'Project Register'!I86=""),"Role 1 missing. ","")&amp;IF(AND('Project Register'!J86&lt;&gt;"",'Project Register'!K86=""),"Role 2 missing. ","")&amp;IF(AND('Project Register'!L86&lt;&gt;"",'Project Register'!M86=""),"Role 3 missing. ","")&amp;IF(OR(AND('Project Register'!H86&lt;&gt;"",'Project Register'!H86='Project Register'!J86),AND('Project Register'!H86&lt;&gt;"",'Project Register'!H86='Project Register'!L86),AND('Project Register'!J86&lt;&gt;"",'Project Register'!J86='Project Register'!L86)),"Same person listed twice. ","")&amp;IF(AND('Project Register'!H86&lt;&gt;"",COUNTIF(Resources!$A$2:$A$51,'Project Register'!H86)=0),"Resource 1 not in Resources sheet. ","")&amp;IF(AND('Project Register'!J86&lt;&gt;"",COUNTIF(Resources!$A$2:$A$51,'Project Register'!J86)=0),"Resource 2 not in Resources sheet. ","")&amp;IF(AND('Project Register'!L86&lt;&gt;"",COUNTIF(Resources!$A$2:$A$51,'Project Register'!L86)=0),"Resource 3 not in Resources sheet. ","")&amp;IF('Project Register'!O86="","Test Status missing. ","")&amp;IF(AND(ISNUMBER(E86),E86&gt;1),"This task alone needs over 100% per person. ","")&amp;IF(AND('Project Register'!Q86="Deployed in Live",'Project Register'!R86=""),"Release Date blank (import date will be used). ","")))</f>
        <v/>
      </c>
      <c r="G86" s="17" t="str">
        <f aca="false">IF('Project Register'!$A86="","",IF(F86="","OK","Check"))</f>
        <v/>
      </c>
    </row>
    <row r="87" customFormat="false" ht="15" hidden="false" customHeight="false" outlineLevel="0" collapsed="false">
      <c r="A87" s="15" t="str">
        <f aca="false">IF('Project Register'!$A87="","",ROW('Project Register'!A87))</f>
        <v/>
      </c>
      <c r="B87" s="15" t="str">
        <f aca="false">IF('Project Register'!$A87="","",'Project Register'!B87)</f>
        <v/>
      </c>
      <c r="C87" s="15" t="str">
        <f aca="false">IF('Project Register'!$A87="","",IF(OR('Project Register'!E87="",'Project Register'!F87=""),"",IF('Project Register'!F87&lt;'Project Register'!E87,0,NETWORKDAYS.INTL('Project Register'!E87,'Project Register'!F87,"0000110",Holidays_Leave!$A$3:$A$62))))</f>
        <v/>
      </c>
      <c r="D87" s="15" t="str">
        <f aca="false">IF('Project Register'!$A87="","",('Project Register'!H87&lt;&gt;"")+('Project Register'!J87&lt;&gt;"")+('Project Register'!L87&lt;&gt;""))</f>
        <v/>
      </c>
      <c r="E87" s="16" t="str">
        <f aca="false">IF(OR(C87="",D87="",'Project Register'!G87=""),"",IF(OR(C87=0,D87=0),"",'Project Register'!G87/(C87*D87)))</f>
        <v/>
      </c>
      <c r="F87" s="15" t="str">
        <f aca="false">IF('Project Register'!$A87="","",TRIM(IF(OR('Project Register'!E87="",'Project Register'!F87=""),"Missing date. ","")&amp;IF(AND('Project Register'!E87&lt;&gt;"",'Project Register'!F87&lt;&gt;"",'Project Register'!F87&lt;'Project Register'!E87),"End before start. ","")&amp;IF(NOT(ISNUMBER('Project Register'!G87)),"Effort missing. ","")&amp;IF(D87=0,"No resource. ","")&amp;IF(AND('Project Register'!H87&lt;&gt;"",'Project Register'!I87=""),"Role 1 missing. ","")&amp;IF(AND('Project Register'!J87&lt;&gt;"",'Project Register'!K87=""),"Role 2 missing. ","")&amp;IF(AND('Project Register'!L87&lt;&gt;"",'Project Register'!M87=""),"Role 3 missing. ","")&amp;IF(OR(AND('Project Register'!H87&lt;&gt;"",'Project Register'!H87='Project Register'!J87),AND('Project Register'!H87&lt;&gt;"",'Project Register'!H87='Project Register'!L87),AND('Project Register'!J87&lt;&gt;"",'Project Register'!J87='Project Register'!L87)),"Same person listed twice. ","")&amp;IF(AND('Project Register'!H87&lt;&gt;"",COUNTIF(Resources!$A$2:$A$51,'Project Register'!H87)=0),"Resource 1 not in Resources sheet. ","")&amp;IF(AND('Project Register'!J87&lt;&gt;"",COUNTIF(Resources!$A$2:$A$51,'Project Register'!J87)=0),"Resource 2 not in Resources sheet. ","")&amp;IF(AND('Project Register'!L87&lt;&gt;"",COUNTIF(Resources!$A$2:$A$51,'Project Register'!L87)=0),"Resource 3 not in Resources sheet. ","")&amp;IF('Project Register'!O87="","Test Status missing. ","")&amp;IF(AND(ISNUMBER(E87),E87&gt;1),"This task alone needs over 100% per person. ","")&amp;IF(AND('Project Register'!Q87="Deployed in Live",'Project Register'!R87=""),"Release Date blank (import date will be used). ","")))</f>
        <v/>
      </c>
      <c r="G87" s="17" t="str">
        <f aca="false">IF('Project Register'!$A87="","",IF(F87="","OK","Check"))</f>
        <v/>
      </c>
    </row>
    <row r="88" customFormat="false" ht="15" hidden="false" customHeight="false" outlineLevel="0" collapsed="false">
      <c r="A88" s="15" t="str">
        <f aca="false">IF('Project Register'!$A88="","",ROW('Project Register'!A88))</f>
        <v/>
      </c>
      <c r="B88" s="15" t="str">
        <f aca="false">IF('Project Register'!$A88="","",'Project Register'!B88)</f>
        <v/>
      </c>
      <c r="C88" s="15" t="str">
        <f aca="false">IF('Project Register'!$A88="","",IF(OR('Project Register'!E88="",'Project Register'!F88=""),"",IF('Project Register'!F88&lt;'Project Register'!E88,0,NETWORKDAYS.INTL('Project Register'!E88,'Project Register'!F88,"0000110",Holidays_Leave!$A$3:$A$62))))</f>
        <v/>
      </c>
      <c r="D88" s="15" t="str">
        <f aca="false">IF('Project Register'!$A88="","",('Project Register'!H88&lt;&gt;"")+('Project Register'!J88&lt;&gt;"")+('Project Register'!L88&lt;&gt;""))</f>
        <v/>
      </c>
      <c r="E88" s="16" t="str">
        <f aca="false">IF(OR(C88="",D88="",'Project Register'!G88=""),"",IF(OR(C88=0,D88=0),"",'Project Register'!G88/(C88*D88)))</f>
        <v/>
      </c>
      <c r="F88" s="15" t="str">
        <f aca="false">IF('Project Register'!$A88="","",TRIM(IF(OR('Project Register'!E88="",'Project Register'!F88=""),"Missing date. ","")&amp;IF(AND('Project Register'!E88&lt;&gt;"",'Project Register'!F88&lt;&gt;"",'Project Register'!F88&lt;'Project Register'!E88),"End before start. ","")&amp;IF(NOT(ISNUMBER('Project Register'!G88)),"Effort missing. ","")&amp;IF(D88=0,"No resource. ","")&amp;IF(AND('Project Register'!H88&lt;&gt;"",'Project Register'!I88=""),"Role 1 missing. ","")&amp;IF(AND('Project Register'!J88&lt;&gt;"",'Project Register'!K88=""),"Role 2 missing. ","")&amp;IF(AND('Project Register'!L88&lt;&gt;"",'Project Register'!M88=""),"Role 3 missing. ","")&amp;IF(OR(AND('Project Register'!H88&lt;&gt;"",'Project Register'!H88='Project Register'!J88),AND('Project Register'!H88&lt;&gt;"",'Project Register'!H88='Project Register'!L88),AND('Project Register'!J88&lt;&gt;"",'Project Register'!J88='Project Register'!L88)),"Same person listed twice. ","")&amp;IF(AND('Project Register'!H88&lt;&gt;"",COUNTIF(Resources!$A$2:$A$51,'Project Register'!H88)=0),"Resource 1 not in Resources sheet. ","")&amp;IF(AND('Project Register'!J88&lt;&gt;"",COUNTIF(Resources!$A$2:$A$51,'Project Register'!J88)=0),"Resource 2 not in Resources sheet. ","")&amp;IF(AND('Project Register'!L88&lt;&gt;"",COUNTIF(Resources!$A$2:$A$51,'Project Register'!L88)=0),"Resource 3 not in Resources sheet. ","")&amp;IF('Project Register'!O88="","Test Status missing. ","")&amp;IF(AND(ISNUMBER(E88),E88&gt;1),"This task alone needs over 100% per person. ","")&amp;IF(AND('Project Register'!Q88="Deployed in Live",'Project Register'!R88=""),"Release Date blank (import date will be used). ","")))</f>
        <v/>
      </c>
      <c r="G88" s="17" t="str">
        <f aca="false">IF('Project Register'!$A88="","",IF(F88="","OK","Check"))</f>
        <v/>
      </c>
    </row>
    <row r="89" customFormat="false" ht="15" hidden="false" customHeight="false" outlineLevel="0" collapsed="false">
      <c r="A89" s="15" t="str">
        <f aca="false">IF('Project Register'!$A89="","",ROW('Project Register'!A89))</f>
        <v/>
      </c>
      <c r="B89" s="15" t="str">
        <f aca="false">IF('Project Register'!$A89="","",'Project Register'!B89)</f>
        <v/>
      </c>
      <c r="C89" s="15" t="str">
        <f aca="false">IF('Project Register'!$A89="","",IF(OR('Project Register'!E89="",'Project Register'!F89=""),"",IF('Project Register'!F89&lt;'Project Register'!E89,0,NETWORKDAYS.INTL('Project Register'!E89,'Project Register'!F89,"0000110",Holidays_Leave!$A$3:$A$62))))</f>
        <v/>
      </c>
      <c r="D89" s="15" t="str">
        <f aca="false">IF('Project Register'!$A89="","",('Project Register'!H89&lt;&gt;"")+('Project Register'!J89&lt;&gt;"")+('Project Register'!L89&lt;&gt;""))</f>
        <v/>
      </c>
      <c r="E89" s="16" t="str">
        <f aca="false">IF(OR(C89="",D89="",'Project Register'!G89=""),"",IF(OR(C89=0,D89=0),"",'Project Register'!G89/(C89*D89)))</f>
        <v/>
      </c>
      <c r="F89" s="15" t="str">
        <f aca="false">IF('Project Register'!$A89="","",TRIM(IF(OR('Project Register'!E89="",'Project Register'!F89=""),"Missing date. ","")&amp;IF(AND('Project Register'!E89&lt;&gt;"",'Project Register'!F89&lt;&gt;"",'Project Register'!F89&lt;'Project Register'!E89),"End before start. ","")&amp;IF(NOT(ISNUMBER('Project Register'!G89)),"Effort missing. ","")&amp;IF(D89=0,"No resource. ","")&amp;IF(AND('Project Register'!H89&lt;&gt;"",'Project Register'!I89=""),"Role 1 missing. ","")&amp;IF(AND('Project Register'!J89&lt;&gt;"",'Project Register'!K89=""),"Role 2 missing. ","")&amp;IF(AND('Project Register'!L89&lt;&gt;"",'Project Register'!M89=""),"Role 3 missing. ","")&amp;IF(OR(AND('Project Register'!H89&lt;&gt;"",'Project Register'!H89='Project Register'!J89),AND('Project Register'!H89&lt;&gt;"",'Project Register'!H89='Project Register'!L89),AND('Project Register'!J89&lt;&gt;"",'Project Register'!J89='Project Register'!L89)),"Same person listed twice. ","")&amp;IF(AND('Project Register'!H89&lt;&gt;"",COUNTIF(Resources!$A$2:$A$51,'Project Register'!H89)=0),"Resource 1 not in Resources sheet. ","")&amp;IF(AND('Project Register'!J89&lt;&gt;"",COUNTIF(Resources!$A$2:$A$51,'Project Register'!J89)=0),"Resource 2 not in Resources sheet. ","")&amp;IF(AND('Project Register'!L89&lt;&gt;"",COUNTIF(Resources!$A$2:$A$51,'Project Register'!L89)=0),"Resource 3 not in Resources sheet. ","")&amp;IF('Project Register'!O89="","Test Status missing. ","")&amp;IF(AND(ISNUMBER(E89),E89&gt;1),"This task alone needs over 100% per person. ","")&amp;IF(AND('Project Register'!Q89="Deployed in Live",'Project Register'!R89=""),"Release Date blank (import date will be used). ","")))</f>
        <v/>
      </c>
      <c r="G89" s="17" t="str">
        <f aca="false">IF('Project Register'!$A89="","",IF(F89="","OK","Check"))</f>
        <v/>
      </c>
    </row>
    <row r="90" customFormat="false" ht="15" hidden="false" customHeight="false" outlineLevel="0" collapsed="false">
      <c r="A90" s="15" t="str">
        <f aca="false">IF('Project Register'!$A90="","",ROW('Project Register'!A90))</f>
        <v/>
      </c>
      <c r="B90" s="15" t="str">
        <f aca="false">IF('Project Register'!$A90="","",'Project Register'!B90)</f>
        <v/>
      </c>
      <c r="C90" s="15" t="str">
        <f aca="false">IF('Project Register'!$A90="","",IF(OR('Project Register'!E90="",'Project Register'!F90=""),"",IF('Project Register'!F90&lt;'Project Register'!E90,0,NETWORKDAYS.INTL('Project Register'!E90,'Project Register'!F90,"0000110",Holidays_Leave!$A$3:$A$62))))</f>
        <v/>
      </c>
      <c r="D90" s="15" t="str">
        <f aca="false">IF('Project Register'!$A90="","",('Project Register'!H90&lt;&gt;"")+('Project Register'!J90&lt;&gt;"")+('Project Register'!L90&lt;&gt;""))</f>
        <v/>
      </c>
      <c r="E90" s="16" t="str">
        <f aca="false">IF(OR(C90="",D90="",'Project Register'!G90=""),"",IF(OR(C90=0,D90=0),"",'Project Register'!G90/(C90*D90)))</f>
        <v/>
      </c>
      <c r="F90" s="15" t="str">
        <f aca="false">IF('Project Register'!$A90="","",TRIM(IF(OR('Project Register'!E90="",'Project Register'!F90=""),"Missing date. ","")&amp;IF(AND('Project Register'!E90&lt;&gt;"",'Project Register'!F90&lt;&gt;"",'Project Register'!F90&lt;'Project Register'!E90),"End before start. ","")&amp;IF(NOT(ISNUMBER('Project Register'!G90)),"Effort missing. ","")&amp;IF(D90=0,"No resource. ","")&amp;IF(AND('Project Register'!H90&lt;&gt;"",'Project Register'!I90=""),"Role 1 missing. ","")&amp;IF(AND('Project Register'!J90&lt;&gt;"",'Project Register'!K90=""),"Role 2 missing. ","")&amp;IF(AND('Project Register'!L90&lt;&gt;"",'Project Register'!M90=""),"Role 3 missing. ","")&amp;IF(OR(AND('Project Register'!H90&lt;&gt;"",'Project Register'!H90='Project Register'!J90),AND('Project Register'!H90&lt;&gt;"",'Project Register'!H90='Project Register'!L90),AND('Project Register'!J90&lt;&gt;"",'Project Register'!J90='Project Register'!L90)),"Same person listed twice. ","")&amp;IF(AND('Project Register'!H90&lt;&gt;"",COUNTIF(Resources!$A$2:$A$51,'Project Register'!H90)=0),"Resource 1 not in Resources sheet. ","")&amp;IF(AND('Project Register'!J90&lt;&gt;"",COUNTIF(Resources!$A$2:$A$51,'Project Register'!J90)=0),"Resource 2 not in Resources sheet. ","")&amp;IF(AND('Project Register'!L90&lt;&gt;"",COUNTIF(Resources!$A$2:$A$51,'Project Register'!L90)=0),"Resource 3 not in Resources sheet. ","")&amp;IF('Project Register'!O90="","Test Status missing. ","")&amp;IF(AND(ISNUMBER(E90),E90&gt;1),"This task alone needs over 100% per person. ","")&amp;IF(AND('Project Register'!Q90="Deployed in Live",'Project Register'!R90=""),"Release Date blank (import date will be used). ","")))</f>
        <v/>
      </c>
      <c r="G90" s="17" t="str">
        <f aca="false">IF('Project Register'!$A90="","",IF(F90="","OK","Check"))</f>
        <v/>
      </c>
    </row>
    <row r="91" customFormat="false" ht="15" hidden="false" customHeight="false" outlineLevel="0" collapsed="false">
      <c r="A91" s="15" t="str">
        <f aca="false">IF('Project Register'!$A91="","",ROW('Project Register'!A91))</f>
        <v/>
      </c>
      <c r="B91" s="15" t="str">
        <f aca="false">IF('Project Register'!$A91="","",'Project Register'!B91)</f>
        <v/>
      </c>
      <c r="C91" s="15" t="str">
        <f aca="false">IF('Project Register'!$A91="","",IF(OR('Project Register'!E91="",'Project Register'!F91=""),"",IF('Project Register'!F91&lt;'Project Register'!E91,0,NETWORKDAYS.INTL('Project Register'!E91,'Project Register'!F91,"0000110",Holidays_Leave!$A$3:$A$62))))</f>
        <v/>
      </c>
      <c r="D91" s="15" t="str">
        <f aca="false">IF('Project Register'!$A91="","",('Project Register'!H91&lt;&gt;"")+('Project Register'!J91&lt;&gt;"")+('Project Register'!L91&lt;&gt;""))</f>
        <v/>
      </c>
      <c r="E91" s="16" t="str">
        <f aca="false">IF(OR(C91="",D91="",'Project Register'!G91=""),"",IF(OR(C91=0,D91=0),"",'Project Register'!G91/(C91*D91)))</f>
        <v/>
      </c>
      <c r="F91" s="15" t="str">
        <f aca="false">IF('Project Register'!$A91="","",TRIM(IF(OR('Project Register'!E91="",'Project Register'!F91=""),"Missing date. ","")&amp;IF(AND('Project Register'!E91&lt;&gt;"",'Project Register'!F91&lt;&gt;"",'Project Register'!F91&lt;'Project Register'!E91),"End before start. ","")&amp;IF(NOT(ISNUMBER('Project Register'!G91)),"Effort missing. ","")&amp;IF(D91=0,"No resource. ","")&amp;IF(AND('Project Register'!H91&lt;&gt;"",'Project Register'!I91=""),"Role 1 missing. ","")&amp;IF(AND('Project Register'!J91&lt;&gt;"",'Project Register'!K91=""),"Role 2 missing. ","")&amp;IF(AND('Project Register'!L91&lt;&gt;"",'Project Register'!M91=""),"Role 3 missing. ","")&amp;IF(OR(AND('Project Register'!H91&lt;&gt;"",'Project Register'!H91='Project Register'!J91),AND('Project Register'!H91&lt;&gt;"",'Project Register'!H91='Project Register'!L91),AND('Project Register'!J91&lt;&gt;"",'Project Register'!J91='Project Register'!L91)),"Same person listed twice. ","")&amp;IF(AND('Project Register'!H91&lt;&gt;"",COUNTIF(Resources!$A$2:$A$51,'Project Register'!H91)=0),"Resource 1 not in Resources sheet. ","")&amp;IF(AND('Project Register'!J91&lt;&gt;"",COUNTIF(Resources!$A$2:$A$51,'Project Register'!J91)=0),"Resource 2 not in Resources sheet. ","")&amp;IF(AND('Project Register'!L91&lt;&gt;"",COUNTIF(Resources!$A$2:$A$51,'Project Register'!L91)=0),"Resource 3 not in Resources sheet. ","")&amp;IF('Project Register'!O91="","Test Status missing. ","")&amp;IF(AND(ISNUMBER(E91),E91&gt;1),"This task alone needs over 100% per person. ","")&amp;IF(AND('Project Register'!Q91="Deployed in Live",'Project Register'!R91=""),"Release Date blank (import date will be used). ","")))</f>
        <v/>
      </c>
      <c r="G91" s="17" t="str">
        <f aca="false">IF('Project Register'!$A91="","",IF(F91="","OK","Check"))</f>
        <v/>
      </c>
    </row>
    <row r="92" customFormat="false" ht="15" hidden="false" customHeight="false" outlineLevel="0" collapsed="false">
      <c r="A92" s="15" t="str">
        <f aca="false">IF('Project Register'!$A92="","",ROW('Project Register'!A92))</f>
        <v/>
      </c>
      <c r="B92" s="15" t="str">
        <f aca="false">IF('Project Register'!$A92="","",'Project Register'!B92)</f>
        <v/>
      </c>
      <c r="C92" s="15" t="str">
        <f aca="false">IF('Project Register'!$A92="","",IF(OR('Project Register'!E92="",'Project Register'!F92=""),"",IF('Project Register'!F92&lt;'Project Register'!E92,0,NETWORKDAYS.INTL('Project Register'!E92,'Project Register'!F92,"0000110",Holidays_Leave!$A$3:$A$62))))</f>
        <v/>
      </c>
      <c r="D92" s="15" t="str">
        <f aca="false">IF('Project Register'!$A92="","",('Project Register'!H92&lt;&gt;"")+('Project Register'!J92&lt;&gt;"")+('Project Register'!L92&lt;&gt;""))</f>
        <v/>
      </c>
      <c r="E92" s="16" t="str">
        <f aca="false">IF(OR(C92="",D92="",'Project Register'!G92=""),"",IF(OR(C92=0,D92=0),"",'Project Register'!G92/(C92*D92)))</f>
        <v/>
      </c>
      <c r="F92" s="15" t="str">
        <f aca="false">IF('Project Register'!$A92="","",TRIM(IF(OR('Project Register'!E92="",'Project Register'!F92=""),"Missing date. ","")&amp;IF(AND('Project Register'!E92&lt;&gt;"",'Project Register'!F92&lt;&gt;"",'Project Register'!F92&lt;'Project Register'!E92),"End before start. ","")&amp;IF(NOT(ISNUMBER('Project Register'!G92)),"Effort missing. ","")&amp;IF(D92=0,"No resource. ","")&amp;IF(AND('Project Register'!H92&lt;&gt;"",'Project Register'!I92=""),"Role 1 missing. ","")&amp;IF(AND('Project Register'!J92&lt;&gt;"",'Project Register'!K92=""),"Role 2 missing. ","")&amp;IF(AND('Project Register'!L92&lt;&gt;"",'Project Register'!M92=""),"Role 3 missing. ","")&amp;IF(OR(AND('Project Register'!H92&lt;&gt;"",'Project Register'!H92='Project Register'!J92),AND('Project Register'!H92&lt;&gt;"",'Project Register'!H92='Project Register'!L92),AND('Project Register'!J92&lt;&gt;"",'Project Register'!J92='Project Register'!L92)),"Same person listed twice. ","")&amp;IF(AND('Project Register'!H92&lt;&gt;"",COUNTIF(Resources!$A$2:$A$51,'Project Register'!H92)=0),"Resource 1 not in Resources sheet. ","")&amp;IF(AND('Project Register'!J92&lt;&gt;"",COUNTIF(Resources!$A$2:$A$51,'Project Register'!J92)=0),"Resource 2 not in Resources sheet. ","")&amp;IF(AND('Project Register'!L92&lt;&gt;"",COUNTIF(Resources!$A$2:$A$51,'Project Register'!L92)=0),"Resource 3 not in Resources sheet. ","")&amp;IF('Project Register'!O92="","Test Status missing. ","")&amp;IF(AND(ISNUMBER(E92),E92&gt;1),"This task alone needs over 100% per person. ","")&amp;IF(AND('Project Register'!Q92="Deployed in Live",'Project Register'!R92=""),"Release Date blank (import date will be used). ","")))</f>
        <v/>
      </c>
      <c r="G92" s="17" t="str">
        <f aca="false">IF('Project Register'!$A92="","",IF(F92="","OK","Check"))</f>
        <v/>
      </c>
    </row>
    <row r="93" customFormat="false" ht="15" hidden="false" customHeight="false" outlineLevel="0" collapsed="false">
      <c r="A93" s="15" t="str">
        <f aca="false">IF('Project Register'!$A93="","",ROW('Project Register'!A93))</f>
        <v/>
      </c>
      <c r="B93" s="15" t="str">
        <f aca="false">IF('Project Register'!$A93="","",'Project Register'!B93)</f>
        <v/>
      </c>
      <c r="C93" s="15" t="str">
        <f aca="false">IF('Project Register'!$A93="","",IF(OR('Project Register'!E93="",'Project Register'!F93=""),"",IF('Project Register'!F93&lt;'Project Register'!E93,0,NETWORKDAYS.INTL('Project Register'!E93,'Project Register'!F93,"0000110",Holidays_Leave!$A$3:$A$62))))</f>
        <v/>
      </c>
      <c r="D93" s="15" t="str">
        <f aca="false">IF('Project Register'!$A93="","",('Project Register'!H93&lt;&gt;"")+('Project Register'!J93&lt;&gt;"")+('Project Register'!L93&lt;&gt;""))</f>
        <v/>
      </c>
      <c r="E93" s="16" t="str">
        <f aca="false">IF(OR(C93="",D93="",'Project Register'!G93=""),"",IF(OR(C93=0,D93=0),"",'Project Register'!G93/(C93*D93)))</f>
        <v/>
      </c>
      <c r="F93" s="15" t="str">
        <f aca="false">IF('Project Register'!$A93="","",TRIM(IF(OR('Project Register'!E93="",'Project Register'!F93=""),"Missing date. ","")&amp;IF(AND('Project Register'!E93&lt;&gt;"",'Project Register'!F93&lt;&gt;"",'Project Register'!F93&lt;'Project Register'!E93),"End before start. ","")&amp;IF(NOT(ISNUMBER('Project Register'!G93)),"Effort missing. ","")&amp;IF(D93=0,"No resource. ","")&amp;IF(AND('Project Register'!H93&lt;&gt;"",'Project Register'!I93=""),"Role 1 missing. ","")&amp;IF(AND('Project Register'!J93&lt;&gt;"",'Project Register'!K93=""),"Role 2 missing. ","")&amp;IF(AND('Project Register'!L93&lt;&gt;"",'Project Register'!M93=""),"Role 3 missing. ","")&amp;IF(OR(AND('Project Register'!H93&lt;&gt;"",'Project Register'!H93='Project Register'!J93),AND('Project Register'!H93&lt;&gt;"",'Project Register'!H93='Project Register'!L93),AND('Project Register'!J93&lt;&gt;"",'Project Register'!J93='Project Register'!L93)),"Same person listed twice. ","")&amp;IF(AND('Project Register'!H93&lt;&gt;"",COUNTIF(Resources!$A$2:$A$51,'Project Register'!H93)=0),"Resource 1 not in Resources sheet. ","")&amp;IF(AND('Project Register'!J93&lt;&gt;"",COUNTIF(Resources!$A$2:$A$51,'Project Register'!J93)=0),"Resource 2 not in Resources sheet. ","")&amp;IF(AND('Project Register'!L93&lt;&gt;"",COUNTIF(Resources!$A$2:$A$51,'Project Register'!L93)=0),"Resource 3 not in Resources sheet. ","")&amp;IF('Project Register'!O93="","Test Status missing. ","")&amp;IF(AND(ISNUMBER(E93),E93&gt;1),"This task alone needs over 100% per person. ","")&amp;IF(AND('Project Register'!Q93="Deployed in Live",'Project Register'!R93=""),"Release Date blank (import date will be used). ","")))</f>
        <v/>
      </c>
      <c r="G93" s="17" t="str">
        <f aca="false">IF('Project Register'!$A93="","",IF(F93="","OK","Check"))</f>
        <v/>
      </c>
    </row>
    <row r="94" customFormat="false" ht="15" hidden="false" customHeight="false" outlineLevel="0" collapsed="false">
      <c r="A94" s="15" t="str">
        <f aca="false">IF('Project Register'!$A94="","",ROW('Project Register'!A94))</f>
        <v/>
      </c>
      <c r="B94" s="15" t="str">
        <f aca="false">IF('Project Register'!$A94="","",'Project Register'!B94)</f>
        <v/>
      </c>
      <c r="C94" s="15" t="str">
        <f aca="false">IF('Project Register'!$A94="","",IF(OR('Project Register'!E94="",'Project Register'!F94=""),"",IF('Project Register'!F94&lt;'Project Register'!E94,0,NETWORKDAYS.INTL('Project Register'!E94,'Project Register'!F94,"0000110",Holidays_Leave!$A$3:$A$62))))</f>
        <v/>
      </c>
      <c r="D94" s="15" t="str">
        <f aca="false">IF('Project Register'!$A94="","",('Project Register'!H94&lt;&gt;"")+('Project Register'!J94&lt;&gt;"")+('Project Register'!L94&lt;&gt;""))</f>
        <v/>
      </c>
      <c r="E94" s="16" t="str">
        <f aca="false">IF(OR(C94="",D94="",'Project Register'!G94=""),"",IF(OR(C94=0,D94=0),"",'Project Register'!G94/(C94*D94)))</f>
        <v/>
      </c>
      <c r="F94" s="15" t="str">
        <f aca="false">IF('Project Register'!$A94="","",TRIM(IF(OR('Project Register'!E94="",'Project Register'!F94=""),"Missing date. ","")&amp;IF(AND('Project Register'!E94&lt;&gt;"",'Project Register'!F94&lt;&gt;"",'Project Register'!F94&lt;'Project Register'!E94),"End before start. ","")&amp;IF(NOT(ISNUMBER('Project Register'!G94)),"Effort missing. ","")&amp;IF(D94=0,"No resource. ","")&amp;IF(AND('Project Register'!H94&lt;&gt;"",'Project Register'!I94=""),"Role 1 missing. ","")&amp;IF(AND('Project Register'!J94&lt;&gt;"",'Project Register'!K94=""),"Role 2 missing. ","")&amp;IF(AND('Project Register'!L94&lt;&gt;"",'Project Register'!M94=""),"Role 3 missing. ","")&amp;IF(OR(AND('Project Register'!H94&lt;&gt;"",'Project Register'!H94='Project Register'!J94),AND('Project Register'!H94&lt;&gt;"",'Project Register'!H94='Project Register'!L94),AND('Project Register'!J94&lt;&gt;"",'Project Register'!J94='Project Register'!L94)),"Same person listed twice. ","")&amp;IF(AND('Project Register'!H94&lt;&gt;"",COUNTIF(Resources!$A$2:$A$51,'Project Register'!H94)=0),"Resource 1 not in Resources sheet. ","")&amp;IF(AND('Project Register'!J94&lt;&gt;"",COUNTIF(Resources!$A$2:$A$51,'Project Register'!J94)=0),"Resource 2 not in Resources sheet. ","")&amp;IF(AND('Project Register'!L94&lt;&gt;"",COUNTIF(Resources!$A$2:$A$51,'Project Register'!L94)=0),"Resource 3 not in Resources sheet. ","")&amp;IF('Project Register'!O94="","Test Status missing. ","")&amp;IF(AND(ISNUMBER(E94),E94&gt;1),"This task alone needs over 100% per person. ","")&amp;IF(AND('Project Register'!Q94="Deployed in Live",'Project Register'!R94=""),"Release Date blank (import date will be used). ","")))</f>
        <v/>
      </c>
      <c r="G94" s="17" t="str">
        <f aca="false">IF('Project Register'!$A94="","",IF(F94="","OK","Check"))</f>
        <v/>
      </c>
    </row>
    <row r="95" customFormat="false" ht="15" hidden="false" customHeight="false" outlineLevel="0" collapsed="false">
      <c r="A95" s="15" t="str">
        <f aca="false">IF('Project Register'!$A95="","",ROW('Project Register'!A95))</f>
        <v/>
      </c>
      <c r="B95" s="15" t="str">
        <f aca="false">IF('Project Register'!$A95="","",'Project Register'!B95)</f>
        <v/>
      </c>
      <c r="C95" s="15" t="str">
        <f aca="false">IF('Project Register'!$A95="","",IF(OR('Project Register'!E95="",'Project Register'!F95=""),"",IF('Project Register'!F95&lt;'Project Register'!E95,0,NETWORKDAYS.INTL('Project Register'!E95,'Project Register'!F95,"0000110",Holidays_Leave!$A$3:$A$62))))</f>
        <v/>
      </c>
      <c r="D95" s="15" t="str">
        <f aca="false">IF('Project Register'!$A95="","",('Project Register'!H95&lt;&gt;"")+('Project Register'!J95&lt;&gt;"")+('Project Register'!L95&lt;&gt;""))</f>
        <v/>
      </c>
      <c r="E95" s="16" t="str">
        <f aca="false">IF(OR(C95="",D95="",'Project Register'!G95=""),"",IF(OR(C95=0,D95=0),"",'Project Register'!G95/(C95*D95)))</f>
        <v/>
      </c>
      <c r="F95" s="15" t="str">
        <f aca="false">IF('Project Register'!$A95="","",TRIM(IF(OR('Project Register'!E95="",'Project Register'!F95=""),"Missing date. ","")&amp;IF(AND('Project Register'!E95&lt;&gt;"",'Project Register'!F95&lt;&gt;"",'Project Register'!F95&lt;'Project Register'!E95),"End before start. ","")&amp;IF(NOT(ISNUMBER('Project Register'!G95)),"Effort missing. ","")&amp;IF(D95=0,"No resource. ","")&amp;IF(AND('Project Register'!H95&lt;&gt;"",'Project Register'!I95=""),"Role 1 missing. ","")&amp;IF(AND('Project Register'!J95&lt;&gt;"",'Project Register'!K95=""),"Role 2 missing. ","")&amp;IF(AND('Project Register'!L95&lt;&gt;"",'Project Register'!M95=""),"Role 3 missing. ","")&amp;IF(OR(AND('Project Register'!H95&lt;&gt;"",'Project Register'!H95='Project Register'!J95),AND('Project Register'!H95&lt;&gt;"",'Project Register'!H95='Project Register'!L95),AND('Project Register'!J95&lt;&gt;"",'Project Register'!J95='Project Register'!L95)),"Same person listed twice. ","")&amp;IF(AND('Project Register'!H95&lt;&gt;"",COUNTIF(Resources!$A$2:$A$51,'Project Register'!H95)=0),"Resource 1 not in Resources sheet. ","")&amp;IF(AND('Project Register'!J95&lt;&gt;"",COUNTIF(Resources!$A$2:$A$51,'Project Register'!J95)=0),"Resource 2 not in Resources sheet. ","")&amp;IF(AND('Project Register'!L95&lt;&gt;"",COUNTIF(Resources!$A$2:$A$51,'Project Register'!L95)=0),"Resource 3 not in Resources sheet. ","")&amp;IF('Project Register'!O95="","Test Status missing. ","")&amp;IF(AND(ISNUMBER(E95),E95&gt;1),"This task alone needs over 100% per person. ","")&amp;IF(AND('Project Register'!Q95="Deployed in Live",'Project Register'!R95=""),"Release Date blank (import date will be used). ","")))</f>
        <v/>
      </c>
      <c r="G95" s="17" t="str">
        <f aca="false">IF('Project Register'!$A95="","",IF(F95="","OK","Check"))</f>
        <v/>
      </c>
    </row>
    <row r="96" customFormat="false" ht="15" hidden="false" customHeight="false" outlineLevel="0" collapsed="false">
      <c r="A96" s="15" t="str">
        <f aca="false">IF('Project Register'!$A96="","",ROW('Project Register'!A96))</f>
        <v/>
      </c>
      <c r="B96" s="15" t="str">
        <f aca="false">IF('Project Register'!$A96="","",'Project Register'!B96)</f>
        <v/>
      </c>
      <c r="C96" s="15" t="str">
        <f aca="false">IF('Project Register'!$A96="","",IF(OR('Project Register'!E96="",'Project Register'!F96=""),"",IF('Project Register'!F96&lt;'Project Register'!E96,0,NETWORKDAYS.INTL('Project Register'!E96,'Project Register'!F96,"0000110",Holidays_Leave!$A$3:$A$62))))</f>
        <v/>
      </c>
      <c r="D96" s="15" t="str">
        <f aca="false">IF('Project Register'!$A96="","",('Project Register'!H96&lt;&gt;"")+('Project Register'!J96&lt;&gt;"")+('Project Register'!L96&lt;&gt;""))</f>
        <v/>
      </c>
      <c r="E96" s="16" t="str">
        <f aca="false">IF(OR(C96="",D96="",'Project Register'!G96=""),"",IF(OR(C96=0,D96=0),"",'Project Register'!G96/(C96*D96)))</f>
        <v/>
      </c>
      <c r="F96" s="15" t="str">
        <f aca="false">IF('Project Register'!$A96="","",TRIM(IF(OR('Project Register'!E96="",'Project Register'!F96=""),"Missing date. ","")&amp;IF(AND('Project Register'!E96&lt;&gt;"",'Project Register'!F96&lt;&gt;"",'Project Register'!F96&lt;'Project Register'!E96),"End before start. ","")&amp;IF(NOT(ISNUMBER('Project Register'!G96)),"Effort missing. ","")&amp;IF(D96=0,"No resource. ","")&amp;IF(AND('Project Register'!H96&lt;&gt;"",'Project Register'!I96=""),"Role 1 missing. ","")&amp;IF(AND('Project Register'!J96&lt;&gt;"",'Project Register'!K96=""),"Role 2 missing. ","")&amp;IF(AND('Project Register'!L96&lt;&gt;"",'Project Register'!M96=""),"Role 3 missing. ","")&amp;IF(OR(AND('Project Register'!H96&lt;&gt;"",'Project Register'!H96='Project Register'!J96),AND('Project Register'!H96&lt;&gt;"",'Project Register'!H96='Project Register'!L96),AND('Project Register'!J96&lt;&gt;"",'Project Register'!J96='Project Register'!L96)),"Same person listed twice. ","")&amp;IF(AND('Project Register'!H96&lt;&gt;"",COUNTIF(Resources!$A$2:$A$51,'Project Register'!H96)=0),"Resource 1 not in Resources sheet. ","")&amp;IF(AND('Project Register'!J96&lt;&gt;"",COUNTIF(Resources!$A$2:$A$51,'Project Register'!J96)=0),"Resource 2 not in Resources sheet. ","")&amp;IF(AND('Project Register'!L96&lt;&gt;"",COUNTIF(Resources!$A$2:$A$51,'Project Register'!L96)=0),"Resource 3 not in Resources sheet. ","")&amp;IF('Project Register'!O96="","Test Status missing. ","")&amp;IF(AND(ISNUMBER(E96),E96&gt;1),"This task alone needs over 100% per person. ","")&amp;IF(AND('Project Register'!Q96="Deployed in Live",'Project Register'!R96=""),"Release Date blank (import date will be used). ","")))</f>
        <v/>
      </c>
      <c r="G96" s="17" t="str">
        <f aca="false">IF('Project Register'!$A96="","",IF(F96="","OK","Check"))</f>
        <v/>
      </c>
    </row>
    <row r="97" customFormat="false" ht="15" hidden="false" customHeight="false" outlineLevel="0" collapsed="false">
      <c r="A97" s="15" t="str">
        <f aca="false">IF('Project Register'!$A97="","",ROW('Project Register'!A97))</f>
        <v/>
      </c>
      <c r="B97" s="15" t="str">
        <f aca="false">IF('Project Register'!$A97="","",'Project Register'!B97)</f>
        <v/>
      </c>
      <c r="C97" s="15" t="str">
        <f aca="false">IF('Project Register'!$A97="","",IF(OR('Project Register'!E97="",'Project Register'!F97=""),"",IF('Project Register'!F97&lt;'Project Register'!E97,0,NETWORKDAYS.INTL('Project Register'!E97,'Project Register'!F97,"0000110",Holidays_Leave!$A$3:$A$62))))</f>
        <v/>
      </c>
      <c r="D97" s="15" t="str">
        <f aca="false">IF('Project Register'!$A97="","",('Project Register'!H97&lt;&gt;"")+('Project Register'!J97&lt;&gt;"")+('Project Register'!L97&lt;&gt;""))</f>
        <v/>
      </c>
      <c r="E97" s="16" t="str">
        <f aca="false">IF(OR(C97="",D97="",'Project Register'!G97=""),"",IF(OR(C97=0,D97=0),"",'Project Register'!G97/(C97*D97)))</f>
        <v/>
      </c>
      <c r="F97" s="15" t="str">
        <f aca="false">IF('Project Register'!$A97="","",TRIM(IF(OR('Project Register'!E97="",'Project Register'!F97=""),"Missing date. ","")&amp;IF(AND('Project Register'!E97&lt;&gt;"",'Project Register'!F97&lt;&gt;"",'Project Register'!F97&lt;'Project Register'!E97),"End before start. ","")&amp;IF(NOT(ISNUMBER('Project Register'!G97)),"Effort missing. ","")&amp;IF(D97=0,"No resource. ","")&amp;IF(AND('Project Register'!H97&lt;&gt;"",'Project Register'!I97=""),"Role 1 missing. ","")&amp;IF(AND('Project Register'!J97&lt;&gt;"",'Project Register'!K97=""),"Role 2 missing. ","")&amp;IF(AND('Project Register'!L97&lt;&gt;"",'Project Register'!M97=""),"Role 3 missing. ","")&amp;IF(OR(AND('Project Register'!H97&lt;&gt;"",'Project Register'!H97='Project Register'!J97),AND('Project Register'!H97&lt;&gt;"",'Project Register'!H97='Project Register'!L97),AND('Project Register'!J97&lt;&gt;"",'Project Register'!J97='Project Register'!L97)),"Same person listed twice. ","")&amp;IF(AND('Project Register'!H97&lt;&gt;"",COUNTIF(Resources!$A$2:$A$51,'Project Register'!H97)=0),"Resource 1 not in Resources sheet. ","")&amp;IF(AND('Project Register'!J97&lt;&gt;"",COUNTIF(Resources!$A$2:$A$51,'Project Register'!J97)=0),"Resource 2 not in Resources sheet. ","")&amp;IF(AND('Project Register'!L97&lt;&gt;"",COUNTIF(Resources!$A$2:$A$51,'Project Register'!L97)=0),"Resource 3 not in Resources sheet. ","")&amp;IF('Project Register'!O97="","Test Status missing. ","")&amp;IF(AND(ISNUMBER(E97),E97&gt;1),"This task alone needs over 100% per person. ","")&amp;IF(AND('Project Register'!Q97="Deployed in Live",'Project Register'!R97=""),"Release Date blank (import date will be used). ","")))</f>
        <v/>
      </c>
      <c r="G97" s="17" t="str">
        <f aca="false">IF('Project Register'!$A97="","",IF(F97="","OK","Check"))</f>
        <v/>
      </c>
    </row>
    <row r="98" customFormat="false" ht="15" hidden="false" customHeight="false" outlineLevel="0" collapsed="false">
      <c r="A98" s="15" t="str">
        <f aca="false">IF('Project Register'!$A98="","",ROW('Project Register'!A98))</f>
        <v/>
      </c>
      <c r="B98" s="15" t="str">
        <f aca="false">IF('Project Register'!$A98="","",'Project Register'!B98)</f>
        <v/>
      </c>
      <c r="C98" s="15" t="str">
        <f aca="false">IF('Project Register'!$A98="","",IF(OR('Project Register'!E98="",'Project Register'!F98=""),"",IF('Project Register'!F98&lt;'Project Register'!E98,0,NETWORKDAYS.INTL('Project Register'!E98,'Project Register'!F98,"0000110",Holidays_Leave!$A$3:$A$62))))</f>
        <v/>
      </c>
      <c r="D98" s="15" t="str">
        <f aca="false">IF('Project Register'!$A98="","",('Project Register'!H98&lt;&gt;"")+('Project Register'!J98&lt;&gt;"")+('Project Register'!L98&lt;&gt;""))</f>
        <v/>
      </c>
      <c r="E98" s="16" t="str">
        <f aca="false">IF(OR(C98="",D98="",'Project Register'!G98=""),"",IF(OR(C98=0,D98=0),"",'Project Register'!G98/(C98*D98)))</f>
        <v/>
      </c>
      <c r="F98" s="15" t="str">
        <f aca="false">IF('Project Register'!$A98="","",TRIM(IF(OR('Project Register'!E98="",'Project Register'!F98=""),"Missing date. ","")&amp;IF(AND('Project Register'!E98&lt;&gt;"",'Project Register'!F98&lt;&gt;"",'Project Register'!F98&lt;'Project Register'!E98),"End before start. ","")&amp;IF(NOT(ISNUMBER('Project Register'!G98)),"Effort missing. ","")&amp;IF(D98=0,"No resource. ","")&amp;IF(AND('Project Register'!H98&lt;&gt;"",'Project Register'!I98=""),"Role 1 missing. ","")&amp;IF(AND('Project Register'!J98&lt;&gt;"",'Project Register'!K98=""),"Role 2 missing. ","")&amp;IF(AND('Project Register'!L98&lt;&gt;"",'Project Register'!M98=""),"Role 3 missing. ","")&amp;IF(OR(AND('Project Register'!H98&lt;&gt;"",'Project Register'!H98='Project Register'!J98),AND('Project Register'!H98&lt;&gt;"",'Project Register'!H98='Project Register'!L98),AND('Project Register'!J98&lt;&gt;"",'Project Register'!J98='Project Register'!L98)),"Same person listed twice. ","")&amp;IF(AND('Project Register'!H98&lt;&gt;"",COUNTIF(Resources!$A$2:$A$51,'Project Register'!H98)=0),"Resource 1 not in Resources sheet. ","")&amp;IF(AND('Project Register'!J98&lt;&gt;"",COUNTIF(Resources!$A$2:$A$51,'Project Register'!J98)=0),"Resource 2 not in Resources sheet. ","")&amp;IF(AND('Project Register'!L98&lt;&gt;"",COUNTIF(Resources!$A$2:$A$51,'Project Register'!L98)=0),"Resource 3 not in Resources sheet. ","")&amp;IF('Project Register'!O98="","Test Status missing. ","")&amp;IF(AND(ISNUMBER(E98),E98&gt;1),"This task alone needs over 100% per person. ","")&amp;IF(AND('Project Register'!Q98="Deployed in Live",'Project Register'!R98=""),"Release Date blank (import date will be used). ","")))</f>
        <v/>
      </c>
      <c r="G98" s="17" t="str">
        <f aca="false">IF('Project Register'!$A98="","",IF(F98="","OK","Check"))</f>
        <v/>
      </c>
    </row>
    <row r="99" customFormat="false" ht="15" hidden="false" customHeight="false" outlineLevel="0" collapsed="false">
      <c r="A99" s="15" t="str">
        <f aca="false">IF('Project Register'!$A99="","",ROW('Project Register'!A99))</f>
        <v/>
      </c>
      <c r="B99" s="15" t="str">
        <f aca="false">IF('Project Register'!$A99="","",'Project Register'!B99)</f>
        <v/>
      </c>
      <c r="C99" s="15" t="str">
        <f aca="false">IF('Project Register'!$A99="","",IF(OR('Project Register'!E99="",'Project Register'!F99=""),"",IF('Project Register'!F99&lt;'Project Register'!E99,0,NETWORKDAYS.INTL('Project Register'!E99,'Project Register'!F99,"0000110",Holidays_Leave!$A$3:$A$62))))</f>
        <v/>
      </c>
      <c r="D99" s="15" t="str">
        <f aca="false">IF('Project Register'!$A99="","",('Project Register'!H99&lt;&gt;"")+('Project Register'!J99&lt;&gt;"")+('Project Register'!L99&lt;&gt;""))</f>
        <v/>
      </c>
      <c r="E99" s="16" t="str">
        <f aca="false">IF(OR(C99="",D99="",'Project Register'!G99=""),"",IF(OR(C99=0,D99=0),"",'Project Register'!G99/(C99*D99)))</f>
        <v/>
      </c>
      <c r="F99" s="15" t="str">
        <f aca="false">IF('Project Register'!$A99="","",TRIM(IF(OR('Project Register'!E99="",'Project Register'!F99=""),"Missing date. ","")&amp;IF(AND('Project Register'!E99&lt;&gt;"",'Project Register'!F99&lt;&gt;"",'Project Register'!F99&lt;'Project Register'!E99),"End before start. ","")&amp;IF(NOT(ISNUMBER('Project Register'!G99)),"Effort missing. ","")&amp;IF(D99=0,"No resource. ","")&amp;IF(AND('Project Register'!H99&lt;&gt;"",'Project Register'!I99=""),"Role 1 missing. ","")&amp;IF(AND('Project Register'!J99&lt;&gt;"",'Project Register'!K99=""),"Role 2 missing. ","")&amp;IF(AND('Project Register'!L99&lt;&gt;"",'Project Register'!M99=""),"Role 3 missing. ","")&amp;IF(OR(AND('Project Register'!H99&lt;&gt;"",'Project Register'!H99='Project Register'!J99),AND('Project Register'!H99&lt;&gt;"",'Project Register'!H99='Project Register'!L99),AND('Project Register'!J99&lt;&gt;"",'Project Register'!J99='Project Register'!L99)),"Same person listed twice. ","")&amp;IF(AND('Project Register'!H99&lt;&gt;"",COUNTIF(Resources!$A$2:$A$51,'Project Register'!H99)=0),"Resource 1 not in Resources sheet. ","")&amp;IF(AND('Project Register'!J99&lt;&gt;"",COUNTIF(Resources!$A$2:$A$51,'Project Register'!J99)=0),"Resource 2 not in Resources sheet. ","")&amp;IF(AND('Project Register'!L99&lt;&gt;"",COUNTIF(Resources!$A$2:$A$51,'Project Register'!L99)=0),"Resource 3 not in Resources sheet. ","")&amp;IF('Project Register'!O99="","Test Status missing. ","")&amp;IF(AND(ISNUMBER(E99),E99&gt;1),"This task alone needs over 100% per person. ","")&amp;IF(AND('Project Register'!Q99="Deployed in Live",'Project Register'!R99=""),"Release Date blank (import date will be used). ","")))</f>
        <v/>
      </c>
      <c r="G99" s="17" t="str">
        <f aca="false">IF('Project Register'!$A99="","",IF(F99="","OK","Check"))</f>
        <v/>
      </c>
    </row>
    <row r="100" customFormat="false" ht="15" hidden="false" customHeight="false" outlineLevel="0" collapsed="false">
      <c r="A100" s="15" t="str">
        <f aca="false">IF('Project Register'!$A100="","",ROW('Project Register'!A100))</f>
        <v/>
      </c>
      <c r="B100" s="15" t="str">
        <f aca="false">IF('Project Register'!$A100="","",'Project Register'!B100)</f>
        <v/>
      </c>
      <c r="C100" s="15" t="str">
        <f aca="false">IF('Project Register'!$A100="","",IF(OR('Project Register'!E100="",'Project Register'!F100=""),"",IF('Project Register'!F100&lt;'Project Register'!E100,0,NETWORKDAYS.INTL('Project Register'!E100,'Project Register'!F100,"0000110",Holidays_Leave!$A$3:$A$62))))</f>
        <v/>
      </c>
      <c r="D100" s="15" t="str">
        <f aca="false">IF('Project Register'!$A100="","",('Project Register'!H100&lt;&gt;"")+('Project Register'!J100&lt;&gt;"")+('Project Register'!L100&lt;&gt;""))</f>
        <v/>
      </c>
      <c r="E100" s="16" t="str">
        <f aca="false">IF(OR(C100="",D100="",'Project Register'!G100=""),"",IF(OR(C100=0,D100=0),"",'Project Register'!G100/(C100*D100)))</f>
        <v/>
      </c>
      <c r="F100" s="15" t="str">
        <f aca="false">IF('Project Register'!$A100="","",TRIM(IF(OR('Project Register'!E100="",'Project Register'!F100=""),"Missing date. ","")&amp;IF(AND('Project Register'!E100&lt;&gt;"",'Project Register'!F100&lt;&gt;"",'Project Register'!F100&lt;'Project Register'!E100),"End before start. ","")&amp;IF(NOT(ISNUMBER('Project Register'!G100)),"Effort missing. ","")&amp;IF(D100=0,"No resource. ","")&amp;IF(AND('Project Register'!H100&lt;&gt;"",'Project Register'!I100=""),"Role 1 missing. ","")&amp;IF(AND('Project Register'!J100&lt;&gt;"",'Project Register'!K100=""),"Role 2 missing. ","")&amp;IF(AND('Project Register'!L100&lt;&gt;"",'Project Register'!M100=""),"Role 3 missing. ","")&amp;IF(OR(AND('Project Register'!H100&lt;&gt;"",'Project Register'!H100='Project Register'!J100),AND('Project Register'!H100&lt;&gt;"",'Project Register'!H100='Project Register'!L100),AND('Project Register'!J100&lt;&gt;"",'Project Register'!J100='Project Register'!L100)),"Same person listed twice. ","")&amp;IF(AND('Project Register'!H100&lt;&gt;"",COUNTIF(Resources!$A$2:$A$51,'Project Register'!H100)=0),"Resource 1 not in Resources sheet. ","")&amp;IF(AND('Project Register'!J100&lt;&gt;"",COUNTIF(Resources!$A$2:$A$51,'Project Register'!J100)=0),"Resource 2 not in Resources sheet. ","")&amp;IF(AND('Project Register'!L100&lt;&gt;"",COUNTIF(Resources!$A$2:$A$51,'Project Register'!L100)=0),"Resource 3 not in Resources sheet. ","")&amp;IF('Project Register'!O100="","Test Status missing. ","")&amp;IF(AND(ISNUMBER(E100),E100&gt;1),"This task alone needs over 100% per person. ","")&amp;IF(AND('Project Register'!Q100="Deployed in Live",'Project Register'!R100=""),"Release Date blank (import date will be used). ","")))</f>
        <v/>
      </c>
      <c r="G100" s="17" t="str">
        <f aca="false">IF('Project Register'!$A100="","",IF(F100="","OK","Check"))</f>
        <v/>
      </c>
    </row>
    <row r="101" customFormat="false" ht="15" hidden="false" customHeight="false" outlineLevel="0" collapsed="false">
      <c r="A101" s="15" t="str">
        <f aca="false">IF('Project Register'!$A101="","",ROW('Project Register'!A101))</f>
        <v/>
      </c>
      <c r="B101" s="15" t="str">
        <f aca="false">IF('Project Register'!$A101="","",'Project Register'!B101)</f>
        <v/>
      </c>
      <c r="C101" s="15" t="str">
        <f aca="false">IF('Project Register'!$A101="","",IF(OR('Project Register'!E101="",'Project Register'!F101=""),"",IF('Project Register'!F101&lt;'Project Register'!E101,0,NETWORKDAYS.INTL('Project Register'!E101,'Project Register'!F101,"0000110",Holidays_Leave!$A$3:$A$62))))</f>
        <v/>
      </c>
      <c r="D101" s="15" t="str">
        <f aca="false">IF('Project Register'!$A101="","",('Project Register'!H101&lt;&gt;"")+('Project Register'!J101&lt;&gt;"")+('Project Register'!L101&lt;&gt;""))</f>
        <v/>
      </c>
      <c r="E101" s="16" t="str">
        <f aca="false">IF(OR(C101="",D101="",'Project Register'!G101=""),"",IF(OR(C101=0,D101=0),"",'Project Register'!G101/(C101*D101)))</f>
        <v/>
      </c>
      <c r="F101" s="15" t="str">
        <f aca="false">IF('Project Register'!$A101="","",TRIM(IF(OR('Project Register'!E101="",'Project Register'!F101=""),"Missing date. ","")&amp;IF(AND('Project Register'!E101&lt;&gt;"",'Project Register'!F101&lt;&gt;"",'Project Register'!F101&lt;'Project Register'!E101),"End before start. ","")&amp;IF(NOT(ISNUMBER('Project Register'!G101)),"Effort missing. ","")&amp;IF(D101=0,"No resource. ","")&amp;IF(AND('Project Register'!H101&lt;&gt;"",'Project Register'!I101=""),"Role 1 missing. ","")&amp;IF(AND('Project Register'!J101&lt;&gt;"",'Project Register'!K101=""),"Role 2 missing. ","")&amp;IF(AND('Project Register'!L101&lt;&gt;"",'Project Register'!M101=""),"Role 3 missing. ","")&amp;IF(OR(AND('Project Register'!H101&lt;&gt;"",'Project Register'!H101='Project Register'!J101),AND('Project Register'!H101&lt;&gt;"",'Project Register'!H101='Project Register'!L101),AND('Project Register'!J101&lt;&gt;"",'Project Register'!J101='Project Register'!L101)),"Same person listed twice. ","")&amp;IF(AND('Project Register'!H101&lt;&gt;"",COUNTIF(Resources!$A$2:$A$51,'Project Register'!H101)=0),"Resource 1 not in Resources sheet. ","")&amp;IF(AND('Project Register'!J101&lt;&gt;"",COUNTIF(Resources!$A$2:$A$51,'Project Register'!J101)=0),"Resource 2 not in Resources sheet. ","")&amp;IF(AND('Project Register'!L101&lt;&gt;"",COUNTIF(Resources!$A$2:$A$51,'Project Register'!L101)=0),"Resource 3 not in Resources sheet. ","")&amp;IF('Project Register'!O101="","Test Status missing. ","")&amp;IF(AND(ISNUMBER(E101),E101&gt;1),"This task alone needs over 100% per person. ","")&amp;IF(AND('Project Register'!Q101="Deployed in Live",'Project Register'!R101=""),"Release Date blank (import date will be used). ","")))</f>
        <v/>
      </c>
      <c r="G101" s="17" t="str">
        <f aca="false">IF('Project Register'!$A101="","",IF(F101="","OK","Check"))</f>
        <v/>
      </c>
    </row>
    <row r="102" customFormat="false" ht="15" hidden="false" customHeight="false" outlineLevel="0" collapsed="false">
      <c r="A102" s="15" t="str">
        <f aca="false">IF('Project Register'!$A102="","",ROW('Project Register'!A102))</f>
        <v/>
      </c>
      <c r="B102" s="15" t="str">
        <f aca="false">IF('Project Register'!$A102="","",'Project Register'!B102)</f>
        <v/>
      </c>
      <c r="C102" s="15" t="str">
        <f aca="false">IF('Project Register'!$A102="","",IF(OR('Project Register'!E102="",'Project Register'!F102=""),"",IF('Project Register'!F102&lt;'Project Register'!E102,0,NETWORKDAYS.INTL('Project Register'!E102,'Project Register'!F102,"0000110",Holidays_Leave!$A$3:$A$62))))</f>
        <v/>
      </c>
      <c r="D102" s="15" t="str">
        <f aca="false">IF('Project Register'!$A102="","",('Project Register'!H102&lt;&gt;"")+('Project Register'!J102&lt;&gt;"")+('Project Register'!L102&lt;&gt;""))</f>
        <v/>
      </c>
      <c r="E102" s="16" t="str">
        <f aca="false">IF(OR(C102="",D102="",'Project Register'!G102=""),"",IF(OR(C102=0,D102=0),"",'Project Register'!G102/(C102*D102)))</f>
        <v/>
      </c>
      <c r="F102" s="15" t="str">
        <f aca="false">IF('Project Register'!$A102="","",TRIM(IF(OR('Project Register'!E102="",'Project Register'!F102=""),"Missing date. ","")&amp;IF(AND('Project Register'!E102&lt;&gt;"",'Project Register'!F102&lt;&gt;"",'Project Register'!F102&lt;'Project Register'!E102),"End before start. ","")&amp;IF(NOT(ISNUMBER('Project Register'!G102)),"Effort missing. ","")&amp;IF(D102=0,"No resource. ","")&amp;IF(AND('Project Register'!H102&lt;&gt;"",'Project Register'!I102=""),"Role 1 missing. ","")&amp;IF(AND('Project Register'!J102&lt;&gt;"",'Project Register'!K102=""),"Role 2 missing. ","")&amp;IF(AND('Project Register'!L102&lt;&gt;"",'Project Register'!M102=""),"Role 3 missing. ","")&amp;IF(OR(AND('Project Register'!H102&lt;&gt;"",'Project Register'!H102='Project Register'!J102),AND('Project Register'!H102&lt;&gt;"",'Project Register'!H102='Project Register'!L102),AND('Project Register'!J102&lt;&gt;"",'Project Register'!J102='Project Register'!L102)),"Same person listed twice. ","")&amp;IF(AND('Project Register'!H102&lt;&gt;"",COUNTIF(Resources!$A$2:$A$51,'Project Register'!H102)=0),"Resource 1 not in Resources sheet. ","")&amp;IF(AND('Project Register'!J102&lt;&gt;"",COUNTIF(Resources!$A$2:$A$51,'Project Register'!J102)=0),"Resource 2 not in Resources sheet. ","")&amp;IF(AND('Project Register'!L102&lt;&gt;"",COUNTIF(Resources!$A$2:$A$51,'Project Register'!L102)=0),"Resource 3 not in Resources sheet. ","")&amp;IF('Project Register'!O102="","Test Status missing. ","")&amp;IF(AND(ISNUMBER(E102),E102&gt;1),"This task alone needs over 100% per person. ","")&amp;IF(AND('Project Register'!Q102="Deployed in Live",'Project Register'!R102=""),"Release Date blank (import date will be used). ","")))</f>
        <v/>
      </c>
      <c r="G102" s="17" t="str">
        <f aca="false">IF('Project Register'!$A102="","",IF(F102="","OK","Check"))</f>
        <v/>
      </c>
    </row>
    <row r="103" customFormat="false" ht="15" hidden="false" customHeight="false" outlineLevel="0" collapsed="false">
      <c r="A103" s="15" t="str">
        <f aca="false">IF('Project Register'!$A103="","",ROW('Project Register'!A103))</f>
        <v/>
      </c>
      <c r="B103" s="15" t="str">
        <f aca="false">IF('Project Register'!$A103="","",'Project Register'!B103)</f>
        <v/>
      </c>
      <c r="C103" s="15" t="str">
        <f aca="false">IF('Project Register'!$A103="","",IF(OR('Project Register'!E103="",'Project Register'!F103=""),"",IF('Project Register'!F103&lt;'Project Register'!E103,0,NETWORKDAYS.INTL('Project Register'!E103,'Project Register'!F103,"0000110",Holidays_Leave!$A$3:$A$62))))</f>
        <v/>
      </c>
      <c r="D103" s="15" t="str">
        <f aca="false">IF('Project Register'!$A103="","",('Project Register'!H103&lt;&gt;"")+('Project Register'!J103&lt;&gt;"")+('Project Register'!L103&lt;&gt;""))</f>
        <v/>
      </c>
      <c r="E103" s="16" t="str">
        <f aca="false">IF(OR(C103="",D103="",'Project Register'!G103=""),"",IF(OR(C103=0,D103=0),"",'Project Register'!G103/(C103*D103)))</f>
        <v/>
      </c>
      <c r="F103" s="15" t="str">
        <f aca="false">IF('Project Register'!$A103="","",TRIM(IF(OR('Project Register'!E103="",'Project Register'!F103=""),"Missing date. ","")&amp;IF(AND('Project Register'!E103&lt;&gt;"",'Project Register'!F103&lt;&gt;"",'Project Register'!F103&lt;'Project Register'!E103),"End before start. ","")&amp;IF(NOT(ISNUMBER('Project Register'!G103)),"Effort missing. ","")&amp;IF(D103=0,"No resource. ","")&amp;IF(AND('Project Register'!H103&lt;&gt;"",'Project Register'!I103=""),"Role 1 missing. ","")&amp;IF(AND('Project Register'!J103&lt;&gt;"",'Project Register'!K103=""),"Role 2 missing. ","")&amp;IF(AND('Project Register'!L103&lt;&gt;"",'Project Register'!M103=""),"Role 3 missing. ","")&amp;IF(OR(AND('Project Register'!H103&lt;&gt;"",'Project Register'!H103='Project Register'!J103),AND('Project Register'!H103&lt;&gt;"",'Project Register'!H103='Project Register'!L103),AND('Project Register'!J103&lt;&gt;"",'Project Register'!J103='Project Register'!L103)),"Same person listed twice. ","")&amp;IF(AND('Project Register'!H103&lt;&gt;"",COUNTIF(Resources!$A$2:$A$51,'Project Register'!H103)=0),"Resource 1 not in Resources sheet. ","")&amp;IF(AND('Project Register'!J103&lt;&gt;"",COUNTIF(Resources!$A$2:$A$51,'Project Register'!J103)=0),"Resource 2 not in Resources sheet. ","")&amp;IF(AND('Project Register'!L103&lt;&gt;"",COUNTIF(Resources!$A$2:$A$51,'Project Register'!L103)=0),"Resource 3 not in Resources sheet. ","")&amp;IF('Project Register'!O103="","Test Status missing. ","")&amp;IF(AND(ISNUMBER(E103),E103&gt;1),"This task alone needs over 100% per person. ","")&amp;IF(AND('Project Register'!Q103="Deployed in Live",'Project Register'!R103=""),"Release Date blank (import date will be used). ","")))</f>
        <v/>
      </c>
      <c r="G103" s="17" t="str">
        <f aca="false">IF('Project Register'!$A103="","",IF(F103="","OK","Check"))</f>
        <v/>
      </c>
    </row>
    <row r="104" customFormat="false" ht="15" hidden="false" customHeight="false" outlineLevel="0" collapsed="false">
      <c r="A104" s="15" t="str">
        <f aca="false">IF('Project Register'!$A104="","",ROW('Project Register'!A104))</f>
        <v/>
      </c>
      <c r="B104" s="15" t="str">
        <f aca="false">IF('Project Register'!$A104="","",'Project Register'!B104)</f>
        <v/>
      </c>
      <c r="C104" s="15" t="str">
        <f aca="false">IF('Project Register'!$A104="","",IF(OR('Project Register'!E104="",'Project Register'!F104=""),"",IF('Project Register'!F104&lt;'Project Register'!E104,0,NETWORKDAYS.INTL('Project Register'!E104,'Project Register'!F104,"0000110",Holidays_Leave!$A$3:$A$62))))</f>
        <v/>
      </c>
      <c r="D104" s="15" t="str">
        <f aca="false">IF('Project Register'!$A104="","",('Project Register'!H104&lt;&gt;"")+('Project Register'!J104&lt;&gt;"")+('Project Register'!L104&lt;&gt;""))</f>
        <v/>
      </c>
      <c r="E104" s="16" t="str">
        <f aca="false">IF(OR(C104="",D104="",'Project Register'!G104=""),"",IF(OR(C104=0,D104=0),"",'Project Register'!G104/(C104*D104)))</f>
        <v/>
      </c>
      <c r="F104" s="15" t="str">
        <f aca="false">IF('Project Register'!$A104="","",TRIM(IF(OR('Project Register'!E104="",'Project Register'!F104=""),"Missing date. ","")&amp;IF(AND('Project Register'!E104&lt;&gt;"",'Project Register'!F104&lt;&gt;"",'Project Register'!F104&lt;'Project Register'!E104),"End before start. ","")&amp;IF(NOT(ISNUMBER('Project Register'!G104)),"Effort missing. ","")&amp;IF(D104=0,"No resource. ","")&amp;IF(AND('Project Register'!H104&lt;&gt;"",'Project Register'!I104=""),"Role 1 missing. ","")&amp;IF(AND('Project Register'!J104&lt;&gt;"",'Project Register'!K104=""),"Role 2 missing. ","")&amp;IF(AND('Project Register'!L104&lt;&gt;"",'Project Register'!M104=""),"Role 3 missing. ","")&amp;IF(OR(AND('Project Register'!H104&lt;&gt;"",'Project Register'!H104='Project Register'!J104),AND('Project Register'!H104&lt;&gt;"",'Project Register'!H104='Project Register'!L104),AND('Project Register'!J104&lt;&gt;"",'Project Register'!J104='Project Register'!L104)),"Same person listed twice. ","")&amp;IF(AND('Project Register'!H104&lt;&gt;"",COUNTIF(Resources!$A$2:$A$51,'Project Register'!H104)=0),"Resource 1 not in Resources sheet. ","")&amp;IF(AND('Project Register'!J104&lt;&gt;"",COUNTIF(Resources!$A$2:$A$51,'Project Register'!J104)=0),"Resource 2 not in Resources sheet. ","")&amp;IF(AND('Project Register'!L104&lt;&gt;"",COUNTIF(Resources!$A$2:$A$51,'Project Register'!L104)=0),"Resource 3 not in Resources sheet. ","")&amp;IF('Project Register'!O104="","Test Status missing. ","")&amp;IF(AND(ISNUMBER(E104),E104&gt;1),"This task alone needs over 100% per person. ","")&amp;IF(AND('Project Register'!Q104="Deployed in Live",'Project Register'!R104=""),"Release Date blank (import date will be used). ","")))</f>
        <v/>
      </c>
      <c r="G104" s="17" t="str">
        <f aca="false">IF('Project Register'!$A104="","",IF(F104="","OK","Check"))</f>
        <v/>
      </c>
    </row>
    <row r="105" customFormat="false" ht="15" hidden="false" customHeight="false" outlineLevel="0" collapsed="false">
      <c r="A105" s="15" t="str">
        <f aca="false">IF('Project Register'!$A105="","",ROW('Project Register'!A105))</f>
        <v/>
      </c>
      <c r="B105" s="15" t="str">
        <f aca="false">IF('Project Register'!$A105="","",'Project Register'!B105)</f>
        <v/>
      </c>
      <c r="C105" s="15" t="str">
        <f aca="false">IF('Project Register'!$A105="","",IF(OR('Project Register'!E105="",'Project Register'!F105=""),"",IF('Project Register'!F105&lt;'Project Register'!E105,0,NETWORKDAYS.INTL('Project Register'!E105,'Project Register'!F105,"0000110",Holidays_Leave!$A$3:$A$62))))</f>
        <v/>
      </c>
      <c r="D105" s="15" t="str">
        <f aca="false">IF('Project Register'!$A105="","",('Project Register'!H105&lt;&gt;"")+('Project Register'!J105&lt;&gt;"")+('Project Register'!L105&lt;&gt;""))</f>
        <v/>
      </c>
      <c r="E105" s="16" t="str">
        <f aca="false">IF(OR(C105="",D105="",'Project Register'!G105=""),"",IF(OR(C105=0,D105=0),"",'Project Register'!G105/(C105*D105)))</f>
        <v/>
      </c>
      <c r="F105" s="15" t="str">
        <f aca="false">IF('Project Register'!$A105="","",TRIM(IF(OR('Project Register'!E105="",'Project Register'!F105=""),"Missing date. ","")&amp;IF(AND('Project Register'!E105&lt;&gt;"",'Project Register'!F105&lt;&gt;"",'Project Register'!F105&lt;'Project Register'!E105),"End before start. ","")&amp;IF(NOT(ISNUMBER('Project Register'!G105)),"Effort missing. ","")&amp;IF(D105=0,"No resource. ","")&amp;IF(AND('Project Register'!H105&lt;&gt;"",'Project Register'!I105=""),"Role 1 missing. ","")&amp;IF(AND('Project Register'!J105&lt;&gt;"",'Project Register'!K105=""),"Role 2 missing. ","")&amp;IF(AND('Project Register'!L105&lt;&gt;"",'Project Register'!M105=""),"Role 3 missing. ","")&amp;IF(OR(AND('Project Register'!H105&lt;&gt;"",'Project Register'!H105='Project Register'!J105),AND('Project Register'!H105&lt;&gt;"",'Project Register'!H105='Project Register'!L105),AND('Project Register'!J105&lt;&gt;"",'Project Register'!J105='Project Register'!L105)),"Same person listed twice. ","")&amp;IF(AND('Project Register'!H105&lt;&gt;"",COUNTIF(Resources!$A$2:$A$51,'Project Register'!H105)=0),"Resource 1 not in Resources sheet. ","")&amp;IF(AND('Project Register'!J105&lt;&gt;"",COUNTIF(Resources!$A$2:$A$51,'Project Register'!J105)=0),"Resource 2 not in Resources sheet. ","")&amp;IF(AND('Project Register'!L105&lt;&gt;"",COUNTIF(Resources!$A$2:$A$51,'Project Register'!L105)=0),"Resource 3 not in Resources sheet. ","")&amp;IF('Project Register'!O105="","Test Status missing. ","")&amp;IF(AND(ISNUMBER(E105),E105&gt;1),"This task alone needs over 100% per person. ","")&amp;IF(AND('Project Register'!Q105="Deployed in Live",'Project Register'!R105=""),"Release Date blank (import date will be used). ","")))</f>
        <v/>
      </c>
      <c r="G105" s="17" t="str">
        <f aca="false">IF('Project Register'!$A105="","",IF(F105="","OK","Check"))</f>
        <v/>
      </c>
    </row>
    <row r="106" customFormat="false" ht="15" hidden="false" customHeight="false" outlineLevel="0" collapsed="false">
      <c r="A106" s="15" t="str">
        <f aca="false">IF('Project Register'!$A106="","",ROW('Project Register'!A106))</f>
        <v/>
      </c>
      <c r="B106" s="15" t="str">
        <f aca="false">IF('Project Register'!$A106="","",'Project Register'!B106)</f>
        <v/>
      </c>
      <c r="C106" s="15" t="str">
        <f aca="false">IF('Project Register'!$A106="","",IF(OR('Project Register'!E106="",'Project Register'!F106=""),"",IF('Project Register'!F106&lt;'Project Register'!E106,0,NETWORKDAYS.INTL('Project Register'!E106,'Project Register'!F106,"0000110",Holidays_Leave!$A$3:$A$62))))</f>
        <v/>
      </c>
      <c r="D106" s="15" t="str">
        <f aca="false">IF('Project Register'!$A106="","",('Project Register'!H106&lt;&gt;"")+('Project Register'!J106&lt;&gt;"")+('Project Register'!L106&lt;&gt;""))</f>
        <v/>
      </c>
      <c r="E106" s="16" t="str">
        <f aca="false">IF(OR(C106="",D106="",'Project Register'!G106=""),"",IF(OR(C106=0,D106=0),"",'Project Register'!G106/(C106*D106)))</f>
        <v/>
      </c>
      <c r="F106" s="15" t="str">
        <f aca="false">IF('Project Register'!$A106="","",TRIM(IF(OR('Project Register'!E106="",'Project Register'!F106=""),"Missing date. ","")&amp;IF(AND('Project Register'!E106&lt;&gt;"",'Project Register'!F106&lt;&gt;"",'Project Register'!F106&lt;'Project Register'!E106),"End before start. ","")&amp;IF(NOT(ISNUMBER('Project Register'!G106)),"Effort missing. ","")&amp;IF(D106=0,"No resource. ","")&amp;IF(AND('Project Register'!H106&lt;&gt;"",'Project Register'!I106=""),"Role 1 missing. ","")&amp;IF(AND('Project Register'!J106&lt;&gt;"",'Project Register'!K106=""),"Role 2 missing. ","")&amp;IF(AND('Project Register'!L106&lt;&gt;"",'Project Register'!M106=""),"Role 3 missing. ","")&amp;IF(OR(AND('Project Register'!H106&lt;&gt;"",'Project Register'!H106='Project Register'!J106),AND('Project Register'!H106&lt;&gt;"",'Project Register'!H106='Project Register'!L106),AND('Project Register'!J106&lt;&gt;"",'Project Register'!J106='Project Register'!L106)),"Same person listed twice. ","")&amp;IF(AND('Project Register'!H106&lt;&gt;"",COUNTIF(Resources!$A$2:$A$51,'Project Register'!H106)=0),"Resource 1 not in Resources sheet. ","")&amp;IF(AND('Project Register'!J106&lt;&gt;"",COUNTIF(Resources!$A$2:$A$51,'Project Register'!J106)=0),"Resource 2 not in Resources sheet. ","")&amp;IF(AND('Project Register'!L106&lt;&gt;"",COUNTIF(Resources!$A$2:$A$51,'Project Register'!L106)=0),"Resource 3 not in Resources sheet. ","")&amp;IF('Project Register'!O106="","Test Status missing. ","")&amp;IF(AND(ISNUMBER(E106),E106&gt;1),"This task alone needs over 100% per person. ","")&amp;IF(AND('Project Register'!Q106="Deployed in Live",'Project Register'!R106=""),"Release Date blank (import date will be used). ","")))</f>
        <v/>
      </c>
      <c r="G106" s="17" t="str">
        <f aca="false">IF('Project Register'!$A106="","",IF(F106="","OK","Check"))</f>
        <v/>
      </c>
    </row>
    <row r="107" customFormat="false" ht="15" hidden="false" customHeight="false" outlineLevel="0" collapsed="false">
      <c r="A107" s="15" t="str">
        <f aca="false">IF('Project Register'!$A107="","",ROW('Project Register'!A107))</f>
        <v/>
      </c>
      <c r="B107" s="15" t="str">
        <f aca="false">IF('Project Register'!$A107="","",'Project Register'!B107)</f>
        <v/>
      </c>
      <c r="C107" s="15" t="str">
        <f aca="false">IF('Project Register'!$A107="","",IF(OR('Project Register'!E107="",'Project Register'!F107=""),"",IF('Project Register'!F107&lt;'Project Register'!E107,0,NETWORKDAYS.INTL('Project Register'!E107,'Project Register'!F107,"0000110",Holidays_Leave!$A$3:$A$62))))</f>
        <v/>
      </c>
      <c r="D107" s="15" t="str">
        <f aca="false">IF('Project Register'!$A107="","",('Project Register'!H107&lt;&gt;"")+('Project Register'!J107&lt;&gt;"")+('Project Register'!L107&lt;&gt;""))</f>
        <v/>
      </c>
      <c r="E107" s="16" t="str">
        <f aca="false">IF(OR(C107="",D107="",'Project Register'!G107=""),"",IF(OR(C107=0,D107=0),"",'Project Register'!G107/(C107*D107)))</f>
        <v/>
      </c>
      <c r="F107" s="15" t="str">
        <f aca="false">IF('Project Register'!$A107="","",TRIM(IF(OR('Project Register'!E107="",'Project Register'!F107=""),"Missing date. ","")&amp;IF(AND('Project Register'!E107&lt;&gt;"",'Project Register'!F107&lt;&gt;"",'Project Register'!F107&lt;'Project Register'!E107),"End before start. ","")&amp;IF(NOT(ISNUMBER('Project Register'!G107)),"Effort missing. ","")&amp;IF(D107=0,"No resource. ","")&amp;IF(AND('Project Register'!H107&lt;&gt;"",'Project Register'!I107=""),"Role 1 missing. ","")&amp;IF(AND('Project Register'!J107&lt;&gt;"",'Project Register'!K107=""),"Role 2 missing. ","")&amp;IF(AND('Project Register'!L107&lt;&gt;"",'Project Register'!M107=""),"Role 3 missing. ","")&amp;IF(OR(AND('Project Register'!H107&lt;&gt;"",'Project Register'!H107='Project Register'!J107),AND('Project Register'!H107&lt;&gt;"",'Project Register'!H107='Project Register'!L107),AND('Project Register'!J107&lt;&gt;"",'Project Register'!J107='Project Register'!L107)),"Same person listed twice. ","")&amp;IF(AND('Project Register'!H107&lt;&gt;"",COUNTIF(Resources!$A$2:$A$51,'Project Register'!H107)=0),"Resource 1 not in Resources sheet. ","")&amp;IF(AND('Project Register'!J107&lt;&gt;"",COUNTIF(Resources!$A$2:$A$51,'Project Register'!J107)=0),"Resource 2 not in Resources sheet. ","")&amp;IF(AND('Project Register'!L107&lt;&gt;"",COUNTIF(Resources!$A$2:$A$51,'Project Register'!L107)=0),"Resource 3 not in Resources sheet. ","")&amp;IF('Project Register'!O107="","Test Status missing. ","")&amp;IF(AND(ISNUMBER(E107),E107&gt;1),"This task alone needs over 100% per person. ","")&amp;IF(AND('Project Register'!Q107="Deployed in Live",'Project Register'!R107=""),"Release Date blank (import date will be used). ","")))</f>
        <v/>
      </c>
      <c r="G107" s="17" t="str">
        <f aca="false">IF('Project Register'!$A107="","",IF(F107="","OK","Check"))</f>
        <v/>
      </c>
    </row>
    <row r="108" customFormat="false" ht="15" hidden="false" customHeight="false" outlineLevel="0" collapsed="false">
      <c r="A108" s="15" t="str">
        <f aca="false">IF('Project Register'!$A108="","",ROW('Project Register'!A108))</f>
        <v/>
      </c>
      <c r="B108" s="15" t="str">
        <f aca="false">IF('Project Register'!$A108="","",'Project Register'!B108)</f>
        <v/>
      </c>
      <c r="C108" s="15" t="str">
        <f aca="false">IF('Project Register'!$A108="","",IF(OR('Project Register'!E108="",'Project Register'!F108=""),"",IF('Project Register'!F108&lt;'Project Register'!E108,0,NETWORKDAYS.INTL('Project Register'!E108,'Project Register'!F108,"0000110",Holidays_Leave!$A$3:$A$62))))</f>
        <v/>
      </c>
      <c r="D108" s="15" t="str">
        <f aca="false">IF('Project Register'!$A108="","",('Project Register'!H108&lt;&gt;"")+('Project Register'!J108&lt;&gt;"")+('Project Register'!L108&lt;&gt;""))</f>
        <v/>
      </c>
      <c r="E108" s="16" t="str">
        <f aca="false">IF(OR(C108="",D108="",'Project Register'!G108=""),"",IF(OR(C108=0,D108=0),"",'Project Register'!G108/(C108*D108)))</f>
        <v/>
      </c>
      <c r="F108" s="15" t="str">
        <f aca="false">IF('Project Register'!$A108="","",TRIM(IF(OR('Project Register'!E108="",'Project Register'!F108=""),"Missing date. ","")&amp;IF(AND('Project Register'!E108&lt;&gt;"",'Project Register'!F108&lt;&gt;"",'Project Register'!F108&lt;'Project Register'!E108),"End before start. ","")&amp;IF(NOT(ISNUMBER('Project Register'!G108)),"Effort missing. ","")&amp;IF(D108=0,"No resource. ","")&amp;IF(AND('Project Register'!H108&lt;&gt;"",'Project Register'!I108=""),"Role 1 missing. ","")&amp;IF(AND('Project Register'!J108&lt;&gt;"",'Project Register'!K108=""),"Role 2 missing. ","")&amp;IF(AND('Project Register'!L108&lt;&gt;"",'Project Register'!M108=""),"Role 3 missing. ","")&amp;IF(OR(AND('Project Register'!H108&lt;&gt;"",'Project Register'!H108='Project Register'!J108),AND('Project Register'!H108&lt;&gt;"",'Project Register'!H108='Project Register'!L108),AND('Project Register'!J108&lt;&gt;"",'Project Register'!J108='Project Register'!L108)),"Same person listed twice. ","")&amp;IF(AND('Project Register'!H108&lt;&gt;"",COUNTIF(Resources!$A$2:$A$51,'Project Register'!H108)=0),"Resource 1 not in Resources sheet. ","")&amp;IF(AND('Project Register'!J108&lt;&gt;"",COUNTIF(Resources!$A$2:$A$51,'Project Register'!J108)=0),"Resource 2 not in Resources sheet. ","")&amp;IF(AND('Project Register'!L108&lt;&gt;"",COUNTIF(Resources!$A$2:$A$51,'Project Register'!L108)=0),"Resource 3 not in Resources sheet. ","")&amp;IF('Project Register'!O108="","Test Status missing. ","")&amp;IF(AND(ISNUMBER(E108),E108&gt;1),"This task alone needs over 100% per person. ","")&amp;IF(AND('Project Register'!Q108="Deployed in Live",'Project Register'!R108=""),"Release Date blank (import date will be used). ","")))</f>
        <v/>
      </c>
      <c r="G108" s="17" t="str">
        <f aca="false">IF('Project Register'!$A108="","",IF(F108="","OK","Check"))</f>
        <v/>
      </c>
    </row>
    <row r="109" customFormat="false" ht="15" hidden="false" customHeight="false" outlineLevel="0" collapsed="false">
      <c r="A109" s="15" t="str">
        <f aca="false">IF('Project Register'!$A109="","",ROW('Project Register'!A109))</f>
        <v/>
      </c>
      <c r="B109" s="15" t="str">
        <f aca="false">IF('Project Register'!$A109="","",'Project Register'!B109)</f>
        <v/>
      </c>
      <c r="C109" s="15" t="str">
        <f aca="false">IF('Project Register'!$A109="","",IF(OR('Project Register'!E109="",'Project Register'!F109=""),"",IF('Project Register'!F109&lt;'Project Register'!E109,0,NETWORKDAYS.INTL('Project Register'!E109,'Project Register'!F109,"0000110",Holidays_Leave!$A$3:$A$62))))</f>
        <v/>
      </c>
      <c r="D109" s="15" t="str">
        <f aca="false">IF('Project Register'!$A109="","",('Project Register'!H109&lt;&gt;"")+('Project Register'!J109&lt;&gt;"")+('Project Register'!L109&lt;&gt;""))</f>
        <v/>
      </c>
      <c r="E109" s="16" t="str">
        <f aca="false">IF(OR(C109="",D109="",'Project Register'!G109=""),"",IF(OR(C109=0,D109=0),"",'Project Register'!G109/(C109*D109)))</f>
        <v/>
      </c>
      <c r="F109" s="15" t="str">
        <f aca="false">IF('Project Register'!$A109="","",TRIM(IF(OR('Project Register'!E109="",'Project Register'!F109=""),"Missing date. ","")&amp;IF(AND('Project Register'!E109&lt;&gt;"",'Project Register'!F109&lt;&gt;"",'Project Register'!F109&lt;'Project Register'!E109),"End before start. ","")&amp;IF(NOT(ISNUMBER('Project Register'!G109)),"Effort missing. ","")&amp;IF(D109=0,"No resource. ","")&amp;IF(AND('Project Register'!H109&lt;&gt;"",'Project Register'!I109=""),"Role 1 missing. ","")&amp;IF(AND('Project Register'!J109&lt;&gt;"",'Project Register'!K109=""),"Role 2 missing. ","")&amp;IF(AND('Project Register'!L109&lt;&gt;"",'Project Register'!M109=""),"Role 3 missing. ","")&amp;IF(OR(AND('Project Register'!H109&lt;&gt;"",'Project Register'!H109='Project Register'!J109),AND('Project Register'!H109&lt;&gt;"",'Project Register'!H109='Project Register'!L109),AND('Project Register'!J109&lt;&gt;"",'Project Register'!J109='Project Register'!L109)),"Same person listed twice. ","")&amp;IF(AND('Project Register'!H109&lt;&gt;"",COUNTIF(Resources!$A$2:$A$51,'Project Register'!H109)=0),"Resource 1 not in Resources sheet. ","")&amp;IF(AND('Project Register'!J109&lt;&gt;"",COUNTIF(Resources!$A$2:$A$51,'Project Register'!J109)=0),"Resource 2 not in Resources sheet. ","")&amp;IF(AND('Project Register'!L109&lt;&gt;"",COUNTIF(Resources!$A$2:$A$51,'Project Register'!L109)=0),"Resource 3 not in Resources sheet. ","")&amp;IF('Project Register'!O109="","Test Status missing. ","")&amp;IF(AND(ISNUMBER(E109),E109&gt;1),"This task alone needs over 100% per person. ","")&amp;IF(AND('Project Register'!Q109="Deployed in Live",'Project Register'!R109=""),"Release Date blank (import date will be used). ","")))</f>
        <v/>
      </c>
      <c r="G109" s="17" t="str">
        <f aca="false">IF('Project Register'!$A109="","",IF(F109="","OK","Check"))</f>
        <v/>
      </c>
    </row>
    <row r="110" customFormat="false" ht="15" hidden="false" customHeight="false" outlineLevel="0" collapsed="false">
      <c r="A110" s="15" t="str">
        <f aca="false">IF('Project Register'!$A110="","",ROW('Project Register'!A110))</f>
        <v/>
      </c>
      <c r="B110" s="15" t="str">
        <f aca="false">IF('Project Register'!$A110="","",'Project Register'!B110)</f>
        <v/>
      </c>
      <c r="C110" s="15" t="str">
        <f aca="false">IF('Project Register'!$A110="","",IF(OR('Project Register'!E110="",'Project Register'!F110=""),"",IF('Project Register'!F110&lt;'Project Register'!E110,0,NETWORKDAYS.INTL('Project Register'!E110,'Project Register'!F110,"0000110",Holidays_Leave!$A$3:$A$62))))</f>
        <v/>
      </c>
      <c r="D110" s="15" t="str">
        <f aca="false">IF('Project Register'!$A110="","",('Project Register'!H110&lt;&gt;"")+('Project Register'!J110&lt;&gt;"")+('Project Register'!L110&lt;&gt;""))</f>
        <v/>
      </c>
      <c r="E110" s="16" t="str">
        <f aca="false">IF(OR(C110="",D110="",'Project Register'!G110=""),"",IF(OR(C110=0,D110=0),"",'Project Register'!G110/(C110*D110)))</f>
        <v/>
      </c>
      <c r="F110" s="15" t="str">
        <f aca="false">IF('Project Register'!$A110="","",TRIM(IF(OR('Project Register'!E110="",'Project Register'!F110=""),"Missing date. ","")&amp;IF(AND('Project Register'!E110&lt;&gt;"",'Project Register'!F110&lt;&gt;"",'Project Register'!F110&lt;'Project Register'!E110),"End before start. ","")&amp;IF(NOT(ISNUMBER('Project Register'!G110)),"Effort missing. ","")&amp;IF(D110=0,"No resource. ","")&amp;IF(AND('Project Register'!H110&lt;&gt;"",'Project Register'!I110=""),"Role 1 missing. ","")&amp;IF(AND('Project Register'!J110&lt;&gt;"",'Project Register'!K110=""),"Role 2 missing. ","")&amp;IF(AND('Project Register'!L110&lt;&gt;"",'Project Register'!M110=""),"Role 3 missing. ","")&amp;IF(OR(AND('Project Register'!H110&lt;&gt;"",'Project Register'!H110='Project Register'!J110),AND('Project Register'!H110&lt;&gt;"",'Project Register'!H110='Project Register'!L110),AND('Project Register'!J110&lt;&gt;"",'Project Register'!J110='Project Register'!L110)),"Same person listed twice. ","")&amp;IF(AND('Project Register'!H110&lt;&gt;"",COUNTIF(Resources!$A$2:$A$51,'Project Register'!H110)=0),"Resource 1 not in Resources sheet. ","")&amp;IF(AND('Project Register'!J110&lt;&gt;"",COUNTIF(Resources!$A$2:$A$51,'Project Register'!J110)=0),"Resource 2 not in Resources sheet. ","")&amp;IF(AND('Project Register'!L110&lt;&gt;"",COUNTIF(Resources!$A$2:$A$51,'Project Register'!L110)=0),"Resource 3 not in Resources sheet. ","")&amp;IF('Project Register'!O110="","Test Status missing. ","")&amp;IF(AND(ISNUMBER(E110),E110&gt;1),"This task alone needs over 100% per person. ","")&amp;IF(AND('Project Register'!Q110="Deployed in Live",'Project Register'!R110=""),"Release Date blank (import date will be used). ","")))</f>
        <v/>
      </c>
      <c r="G110" s="17" t="str">
        <f aca="false">IF('Project Register'!$A110="","",IF(F110="","OK","Check"))</f>
        <v/>
      </c>
    </row>
    <row r="111" customFormat="false" ht="15" hidden="false" customHeight="false" outlineLevel="0" collapsed="false">
      <c r="A111" s="15" t="str">
        <f aca="false">IF('Project Register'!$A111="","",ROW('Project Register'!A111))</f>
        <v/>
      </c>
      <c r="B111" s="15" t="str">
        <f aca="false">IF('Project Register'!$A111="","",'Project Register'!B111)</f>
        <v/>
      </c>
      <c r="C111" s="15" t="str">
        <f aca="false">IF('Project Register'!$A111="","",IF(OR('Project Register'!E111="",'Project Register'!F111=""),"",IF('Project Register'!F111&lt;'Project Register'!E111,0,NETWORKDAYS.INTL('Project Register'!E111,'Project Register'!F111,"0000110",Holidays_Leave!$A$3:$A$62))))</f>
        <v/>
      </c>
      <c r="D111" s="15" t="str">
        <f aca="false">IF('Project Register'!$A111="","",('Project Register'!H111&lt;&gt;"")+('Project Register'!J111&lt;&gt;"")+('Project Register'!L111&lt;&gt;""))</f>
        <v/>
      </c>
      <c r="E111" s="16" t="str">
        <f aca="false">IF(OR(C111="",D111="",'Project Register'!G111=""),"",IF(OR(C111=0,D111=0),"",'Project Register'!G111/(C111*D111)))</f>
        <v/>
      </c>
      <c r="F111" s="15" t="str">
        <f aca="false">IF('Project Register'!$A111="","",TRIM(IF(OR('Project Register'!E111="",'Project Register'!F111=""),"Missing date. ","")&amp;IF(AND('Project Register'!E111&lt;&gt;"",'Project Register'!F111&lt;&gt;"",'Project Register'!F111&lt;'Project Register'!E111),"End before start. ","")&amp;IF(NOT(ISNUMBER('Project Register'!G111)),"Effort missing. ","")&amp;IF(D111=0,"No resource. ","")&amp;IF(AND('Project Register'!H111&lt;&gt;"",'Project Register'!I111=""),"Role 1 missing. ","")&amp;IF(AND('Project Register'!J111&lt;&gt;"",'Project Register'!K111=""),"Role 2 missing. ","")&amp;IF(AND('Project Register'!L111&lt;&gt;"",'Project Register'!M111=""),"Role 3 missing. ","")&amp;IF(OR(AND('Project Register'!H111&lt;&gt;"",'Project Register'!H111='Project Register'!J111),AND('Project Register'!H111&lt;&gt;"",'Project Register'!H111='Project Register'!L111),AND('Project Register'!J111&lt;&gt;"",'Project Register'!J111='Project Register'!L111)),"Same person listed twice. ","")&amp;IF(AND('Project Register'!H111&lt;&gt;"",COUNTIF(Resources!$A$2:$A$51,'Project Register'!H111)=0),"Resource 1 not in Resources sheet. ","")&amp;IF(AND('Project Register'!J111&lt;&gt;"",COUNTIF(Resources!$A$2:$A$51,'Project Register'!J111)=0),"Resource 2 not in Resources sheet. ","")&amp;IF(AND('Project Register'!L111&lt;&gt;"",COUNTIF(Resources!$A$2:$A$51,'Project Register'!L111)=0),"Resource 3 not in Resources sheet. ","")&amp;IF('Project Register'!O111="","Test Status missing. ","")&amp;IF(AND(ISNUMBER(E111),E111&gt;1),"This task alone needs over 100% per person. ","")&amp;IF(AND('Project Register'!Q111="Deployed in Live",'Project Register'!R111=""),"Release Date blank (import date will be used). ","")))</f>
        <v/>
      </c>
      <c r="G111" s="17" t="str">
        <f aca="false">IF('Project Register'!$A111="","",IF(F111="","OK","Check"))</f>
        <v/>
      </c>
    </row>
    <row r="112" customFormat="false" ht="15" hidden="false" customHeight="false" outlineLevel="0" collapsed="false">
      <c r="A112" s="15" t="str">
        <f aca="false">IF('Project Register'!$A112="","",ROW('Project Register'!A112))</f>
        <v/>
      </c>
      <c r="B112" s="15" t="str">
        <f aca="false">IF('Project Register'!$A112="","",'Project Register'!B112)</f>
        <v/>
      </c>
      <c r="C112" s="15" t="str">
        <f aca="false">IF('Project Register'!$A112="","",IF(OR('Project Register'!E112="",'Project Register'!F112=""),"",IF('Project Register'!F112&lt;'Project Register'!E112,0,NETWORKDAYS.INTL('Project Register'!E112,'Project Register'!F112,"0000110",Holidays_Leave!$A$3:$A$62))))</f>
        <v/>
      </c>
      <c r="D112" s="15" t="str">
        <f aca="false">IF('Project Register'!$A112="","",('Project Register'!H112&lt;&gt;"")+('Project Register'!J112&lt;&gt;"")+('Project Register'!L112&lt;&gt;""))</f>
        <v/>
      </c>
      <c r="E112" s="16" t="str">
        <f aca="false">IF(OR(C112="",D112="",'Project Register'!G112=""),"",IF(OR(C112=0,D112=0),"",'Project Register'!G112/(C112*D112)))</f>
        <v/>
      </c>
      <c r="F112" s="15" t="str">
        <f aca="false">IF('Project Register'!$A112="","",TRIM(IF(OR('Project Register'!E112="",'Project Register'!F112=""),"Missing date. ","")&amp;IF(AND('Project Register'!E112&lt;&gt;"",'Project Register'!F112&lt;&gt;"",'Project Register'!F112&lt;'Project Register'!E112),"End before start. ","")&amp;IF(NOT(ISNUMBER('Project Register'!G112)),"Effort missing. ","")&amp;IF(D112=0,"No resource. ","")&amp;IF(AND('Project Register'!H112&lt;&gt;"",'Project Register'!I112=""),"Role 1 missing. ","")&amp;IF(AND('Project Register'!J112&lt;&gt;"",'Project Register'!K112=""),"Role 2 missing. ","")&amp;IF(AND('Project Register'!L112&lt;&gt;"",'Project Register'!M112=""),"Role 3 missing. ","")&amp;IF(OR(AND('Project Register'!H112&lt;&gt;"",'Project Register'!H112='Project Register'!J112),AND('Project Register'!H112&lt;&gt;"",'Project Register'!H112='Project Register'!L112),AND('Project Register'!J112&lt;&gt;"",'Project Register'!J112='Project Register'!L112)),"Same person listed twice. ","")&amp;IF(AND('Project Register'!H112&lt;&gt;"",COUNTIF(Resources!$A$2:$A$51,'Project Register'!H112)=0),"Resource 1 not in Resources sheet. ","")&amp;IF(AND('Project Register'!J112&lt;&gt;"",COUNTIF(Resources!$A$2:$A$51,'Project Register'!J112)=0),"Resource 2 not in Resources sheet. ","")&amp;IF(AND('Project Register'!L112&lt;&gt;"",COUNTIF(Resources!$A$2:$A$51,'Project Register'!L112)=0),"Resource 3 not in Resources sheet. ","")&amp;IF('Project Register'!O112="","Test Status missing. ","")&amp;IF(AND(ISNUMBER(E112),E112&gt;1),"This task alone needs over 100% per person. ","")&amp;IF(AND('Project Register'!Q112="Deployed in Live",'Project Register'!R112=""),"Release Date blank (import date will be used). ","")))</f>
        <v/>
      </c>
      <c r="G112" s="17" t="str">
        <f aca="false">IF('Project Register'!$A112="","",IF(F112="","OK","Check"))</f>
        <v/>
      </c>
    </row>
    <row r="113" customFormat="false" ht="15" hidden="false" customHeight="false" outlineLevel="0" collapsed="false">
      <c r="A113" s="15" t="str">
        <f aca="false">IF('Project Register'!$A113="","",ROW('Project Register'!A113))</f>
        <v/>
      </c>
      <c r="B113" s="15" t="str">
        <f aca="false">IF('Project Register'!$A113="","",'Project Register'!B113)</f>
        <v/>
      </c>
      <c r="C113" s="15" t="str">
        <f aca="false">IF('Project Register'!$A113="","",IF(OR('Project Register'!E113="",'Project Register'!F113=""),"",IF('Project Register'!F113&lt;'Project Register'!E113,0,NETWORKDAYS.INTL('Project Register'!E113,'Project Register'!F113,"0000110",Holidays_Leave!$A$3:$A$62))))</f>
        <v/>
      </c>
      <c r="D113" s="15" t="str">
        <f aca="false">IF('Project Register'!$A113="","",('Project Register'!H113&lt;&gt;"")+('Project Register'!J113&lt;&gt;"")+('Project Register'!L113&lt;&gt;""))</f>
        <v/>
      </c>
      <c r="E113" s="16" t="str">
        <f aca="false">IF(OR(C113="",D113="",'Project Register'!G113=""),"",IF(OR(C113=0,D113=0),"",'Project Register'!G113/(C113*D113)))</f>
        <v/>
      </c>
      <c r="F113" s="15" t="str">
        <f aca="false">IF('Project Register'!$A113="","",TRIM(IF(OR('Project Register'!E113="",'Project Register'!F113=""),"Missing date. ","")&amp;IF(AND('Project Register'!E113&lt;&gt;"",'Project Register'!F113&lt;&gt;"",'Project Register'!F113&lt;'Project Register'!E113),"End before start. ","")&amp;IF(NOT(ISNUMBER('Project Register'!G113)),"Effort missing. ","")&amp;IF(D113=0,"No resource. ","")&amp;IF(AND('Project Register'!H113&lt;&gt;"",'Project Register'!I113=""),"Role 1 missing. ","")&amp;IF(AND('Project Register'!J113&lt;&gt;"",'Project Register'!K113=""),"Role 2 missing. ","")&amp;IF(AND('Project Register'!L113&lt;&gt;"",'Project Register'!M113=""),"Role 3 missing. ","")&amp;IF(OR(AND('Project Register'!H113&lt;&gt;"",'Project Register'!H113='Project Register'!J113),AND('Project Register'!H113&lt;&gt;"",'Project Register'!H113='Project Register'!L113),AND('Project Register'!J113&lt;&gt;"",'Project Register'!J113='Project Register'!L113)),"Same person listed twice. ","")&amp;IF(AND('Project Register'!H113&lt;&gt;"",COUNTIF(Resources!$A$2:$A$51,'Project Register'!H113)=0),"Resource 1 not in Resources sheet. ","")&amp;IF(AND('Project Register'!J113&lt;&gt;"",COUNTIF(Resources!$A$2:$A$51,'Project Register'!J113)=0),"Resource 2 not in Resources sheet. ","")&amp;IF(AND('Project Register'!L113&lt;&gt;"",COUNTIF(Resources!$A$2:$A$51,'Project Register'!L113)=0),"Resource 3 not in Resources sheet. ","")&amp;IF('Project Register'!O113="","Test Status missing. ","")&amp;IF(AND(ISNUMBER(E113),E113&gt;1),"This task alone needs over 100% per person. ","")&amp;IF(AND('Project Register'!Q113="Deployed in Live",'Project Register'!R113=""),"Release Date blank (import date will be used). ","")))</f>
        <v/>
      </c>
      <c r="G113" s="17" t="str">
        <f aca="false">IF('Project Register'!$A113="","",IF(F113="","OK","Check"))</f>
        <v/>
      </c>
    </row>
    <row r="114" customFormat="false" ht="15" hidden="false" customHeight="false" outlineLevel="0" collapsed="false">
      <c r="A114" s="15" t="str">
        <f aca="false">IF('Project Register'!$A114="","",ROW('Project Register'!A114))</f>
        <v/>
      </c>
      <c r="B114" s="15" t="str">
        <f aca="false">IF('Project Register'!$A114="","",'Project Register'!B114)</f>
        <v/>
      </c>
      <c r="C114" s="15" t="str">
        <f aca="false">IF('Project Register'!$A114="","",IF(OR('Project Register'!E114="",'Project Register'!F114=""),"",IF('Project Register'!F114&lt;'Project Register'!E114,0,NETWORKDAYS.INTL('Project Register'!E114,'Project Register'!F114,"0000110",Holidays_Leave!$A$3:$A$62))))</f>
        <v/>
      </c>
      <c r="D114" s="15" t="str">
        <f aca="false">IF('Project Register'!$A114="","",('Project Register'!H114&lt;&gt;"")+('Project Register'!J114&lt;&gt;"")+('Project Register'!L114&lt;&gt;""))</f>
        <v/>
      </c>
      <c r="E114" s="16" t="str">
        <f aca="false">IF(OR(C114="",D114="",'Project Register'!G114=""),"",IF(OR(C114=0,D114=0),"",'Project Register'!G114/(C114*D114)))</f>
        <v/>
      </c>
      <c r="F114" s="15" t="str">
        <f aca="false">IF('Project Register'!$A114="","",TRIM(IF(OR('Project Register'!E114="",'Project Register'!F114=""),"Missing date. ","")&amp;IF(AND('Project Register'!E114&lt;&gt;"",'Project Register'!F114&lt;&gt;"",'Project Register'!F114&lt;'Project Register'!E114),"End before start. ","")&amp;IF(NOT(ISNUMBER('Project Register'!G114)),"Effort missing. ","")&amp;IF(D114=0,"No resource. ","")&amp;IF(AND('Project Register'!H114&lt;&gt;"",'Project Register'!I114=""),"Role 1 missing. ","")&amp;IF(AND('Project Register'!J114&lt;&gt;"",'Project Register'!K114=""),"Role 2 missing. ","")&amp;IF(AND('Project Register'!L114&lt;&gt;"",'Project Register'!M114=""),"Role 3 missing. ","")&amp;IF(OR(AND('Project Register'!H114&lt;&gt;"",'Project Register'!H114='Project Register'!J114),AND('Project Register'!H114&lt;&gt;"",'Project Register'!H114='Project Register'!L114),AND('Project Register'!J114&lt;&gt;"",'Project Register'!J114='Project Register'!L114)),"Same person listed twice. ","")&amp;IF(AND('Project Register'!H114&lt;&gt;"",COUNTIF(Resources!$A$2:$A$51,'Project Register'!H114)=0),"Resource 1 not in Resources sheet. ","")&amp;IF(AND('Project Register'!J114&lt;&gt;"",COUNTIF(Resources!$A$2:$A$51,'Project Register'!J114)=0),"Resource 2 not in Resources sheet. ","")&amp;IF(AND('Project Register'!L114&lt;&gt;"",COUNTIF(Resources!$A$2:$A$51,'Project Register'!L114)=0),"Resource 3 not in Resources sheet. ","")&amp;IF('Project Register'!O114="","Test Status missing. ","")&amp;IF(AND(ISNUMBER(E114),E114&gt;1),"This task alone needs over 100% per person. ","")&amp;IF(AND('Project Register'!Q114="Deployed in Live",'Project Register'!R114=""),"Release Date blank (import date will be used). ","")))</f>
        <v/>
      </c>
      <c r="G114" s="17" t="str">
        <f aca="false">IF('Project Register'!$A114="","",IF(F114="","OK","Check"))</f>
        <v/>
      </c>
    </row>
    <row r="115" customFormat="false" ht="15" hidden="false" customHeight="false" outlineLevel="0" collapsed="false">
      <c r="A115" s="15" t="str">
        <f aca="false">IF('Project Register'!$A115="","",ROW('Project Register'!A115))</f>
        <v/>
      </c>
      <c r="B115" s="15" t="str">
        <f aca="false">IF('Project Register'!$A115="","",'Project Register'!B115)</f>
        <v/>
      </c>
      <c r="C115" s="15" t="str">
        <f aca="false">IF('Project Register'!$A115="","",IF(OR('Project Register'!E115="",'Project Register'!F115=""),"",IF('Project Register'!F115&lt;'Project Register'!E115,0,NETWORKDAYS.INTL('Project Register'!E115,'Project Register'!F115,"0000110",Holidays_Leave!$A$3:$A$62))))</f>
        <v/>
      </c>
      <c r="D115" s="15" t="str">
        <f aca="false">IF('Project Register'!$A115="","",('Project Register'!H115&lt;&gt;"")+('Project Register'!J115&lt;&gt;"")+('Project Register'!L115&lt;&gt;""))</f>
        <v/>
      </c>
      <c r="E115" s="16" t="str">
        <f aca="false">IF(OR(C115="",D115="",'Project Register'!G115=""),"",IF(OR(C115=0,D115=0),"",'Project Register'!G115/(C115*D115)))</f>
        <v/>
      </c>
      <c r="F115" s="15" t="str">
        <f aca="false">IF('Project Register'!$A115="","",TRIM(IF(OR('Project Register'!E115="",'Project Register'!F115=""),"Missing date. ","")&amp;IF(AND('Project Register'!E115&lt;&gt;"",'Project Register'!F115&lt;&gt;"",'Project Register'!F115&lt;'Project Register'!E115),"End before start. ","")&amp;IF(NOT(ISNUMBER('Project Register'!G115)),"Effort missing. ","")&amp;IF(D115=0,"No resource. ","")&amp;IF(AND('Project Register'!H115&lt;&gt;"",'Project Register'!I115=""),"Role 1 missing. ","")&amp;IF(AND('Project Register'!J115&lt;&gt;"",'Project Register'!K115=""),"Role 2 missing. ","")&amp;IF(AND('Project Register'!L115&lt;&gt;"",'Project Register'!M115=""),"Role 3 missing. ","")&amp;IF(OR(AND('Project Register'!H115&lt;&gt;"",'Project Register'!H115='Project Register'!J115),AND('Project Register'!H115&lt;&gt;"",'Project Register'!H115='Project Register'!L115),AND('Project Register'!J115&lt;&gt;"",'Project Register'!J115='Project Register'!L115)),"Same person listed twice. ","")&amp;IF(AND('Project Register'!H115&lt;&gt;"",COUNTIF(Resources!$A$2:$A$51,'Project Register'!H115)=0),"Resource 1 not in Resources sheet. ","")&amp;IF(AND('Project Register'!J115&lt;&gt;"",COUNTIF(Resources!$A$2:$A$51,'Project Register'!J115)=0),"Resource 2 not in Resources sheet. ","")&amp;IF(AND('Project Register'!L115&lt;&gt;"",COUNTIF(Resources!$A$2:$A$51,'Project Register'!L115)=0),"Resource 3 not in Resources sheet. ","")&amp;IF('Project Register'!O115="","Test Status missing. ","")&amp;IF(AND(ISNUMBER(E115),E115&gt;1),"This task alone needs over 100% per person. ","")&amp;IF(AND('Project Register'!Q115="Deployed in Live",'Project Register'!R115=""),"Release Date blank (import date will be used). ","")))</f>
        <v/>
      </c>
      <c r="G115" s="17" t="str">
        <f aca="false">IF('Project Register'!$A115="","",IF(F115="","OK","Check"))</f>
        <v/>
      </c>
    </row>
    <row r="116" customFormat="false" ht="15" hidden="false" customHeight="false" outlineLevel="0" collapsed="false">
      <c r="A116" s="15" t="str">
        <f aca="false">IF('Project Register'!$A116="","",ROW('Project Register'!A116))</f>
        <v/>
      </c>
      <c r="B116" s="15" t="str">
        <f aca="false">IF('Project Register'!$A116="","",'Project Register'!B116)</f>
        <v/>
      </c>
      <c r="C116" s="15" t="str">
        <f aca="false">IF('Project Register'!$A116="","",IF(OR('Project Register'!E116="",'Project Register'!F116=""),"",IF('Project Register'!F116&lt;'Project Register'!E116,0,NETWORKDAYS.INTL('Project Register'!E116,'Project Register'!F116,"0000110",Holidays_Leave!$A$3:$A$62))))</f>
        <v/>
      </c>
      <c r="D116" s="15" t="str">
        <f aca="false">IF('Project Register'!$A116="","",('Project Register'!H116&lt;&gt;"")+('Project Register'!J116&lt;&gt;"")+('Project Register'!L116&lt;&gt;""))</f>
        <v/>
      </c>
      <c r="E116" s="16" t="str">
        <f aca="false">IF(OR(C116="",D116="",'Project Register'!G116=""),"",IF(OR(C116=0,D116=0),"",'Project Register'!G116/(C116*D116)))</f>
        <v/>
      </c>
      <c r="F116" s="15" t="str">
        <f aca="false">IF('Project Register'!$A116="","",TRIM(IF(OR('Project Register'!E116="",'Project Register'!F116=""),"Missing date. ","")&amp;IF(AND('Project Register'!E116&lt;&gt;"",'Project Register'!F116&lt;&gt;"",'Project Register'!F116&lt;'Project Register'!E116),"End before start. ","")&amp;IF(NOT(ISNUMBER('Project Register'!G116)),"Effort missing. ","")&amp;IF(D116=0,"No resource. ","")&amp;IF(AND('Project Register'!H116&lt;&gt;"",'Project Register'!I116=""),"Role 1 missing. ","")&amp;IF(AND('Project Register'!J116&lt;&gt;"",'Project Register'!K116=""),"Role 2 missing. ","")&amp;IF(AND('Project Register'!L116&lt;&gt;"",'Project Register'!M116=""),"Role 3 missing. ","")&amp;IF(OR(AND('Project Register'!H116&lt;&gt;"",'Project Register'!H116='Project Register'!J116),AND('Project Register'!H116&lt;&gt;"",'Project Register'!H116='Project Register'!L116),AND('Project Register'!J116&lt;&gt;"",'Project Register'!J116='Project Register'!L116)),"Same person listed twice. ","")&amp;IF(AND('Project Register'!H116&lt;&gt;"",COUNTIF(Resources!$A$2:$A$51,'Project Register'!H116)=0),"Resource 1 not in Resources sheet. ","")&amp;IF(AND('Project Register'!J116&lt;&gt;"",COUNTIF(Resources!$A$2:$A$51,'Project Register'!J116)=0),"Resource 2 not in Resources sheet. ","")&amp;IF(AND('Project Register'!L116&lt;&gt;"",COUNTIF(Resources!$A$2:$A$51,'Project Register'!L116)=0),"Resource 3 not in Resources sheet. ","")&amp;IF('Project Register'!O116="","Test Status missing. ","")&amp;IF(AND(ISNUMBER(E116),E116&gt;1),"This task alone needs over 100% per person. ","")&amp;IF(AND('Project Register'!Q116="Deployed in Live",'Project Register'!R116=""),"Release Date blank (import date will be used). ","")))</f>
        <v/>
      </c>
      <c r="G116" s="17" t="str">
        <f aca="false">IF('Project Register'!$A116="","",IF(F116="","OK","Check"))</f>
        <v/>
      </c>
    </row>
    <row r="117" customFormat="false" ht="15" hidden="false" customHeight="false" outlineLevel="0" collapsed="false">
      <c r="A117" s="15" t="str">
        <f aca="false">IF('Project Register'!$A117="","",ROW('Project Register'!A117))</f>
        <v/>
      </c>
      <c r="B117" s="15" t="str">
        <f aca="false">IF('Project Register'!$A117="","",'Project Register'!B117)</f>
        <v/>
      </c>
      <c r="C117" s="15" t="str">
        <f aca="false">IF('Project Register'!$A117="","",IF(OR('Project Register'!E117="",'Project Register'!F117=""),"",IF('Project Register'!F117&lt;'Project Register'!E117,0,NETWORKDAYS.INTL('Project Register'!E117,'Project Register'!F117,"0000110",Holidays_Leave!$A$3:$A$62))))</f>
        <v/>
      </c>
      <c r="D117" s="15" t="str">
        <f aca="false">IF('Project Register'!$A117="","",('Project Register'!H117&lt;&gt;"")+('Project Register'!J117&lt;&gt;"")+('Project Register'!L117&lt;&gt;""))</f>
        <v/>
      </c>
      <c r="E117" s="16" t="str">
        <f aca="false">IF(OR(C117="",D117="",'Project Register'!G117=""),"",IF(OR(C117=0,D117=0),"",'Project Register'!G117/(C117*D117)))</f>
        <v/>
      </c>
      <c r="F117" s="15" t="str">
        <f aca="false">IF('Project Register'!$A117="","",TRIM(IF(OR('Project Register'!E117="",'Project Register'!F117=""),"Missing date. ","")&amp;IF(AND('Project Register'!E117&lt;&gt;"",'Project Register'!F117&lt;&gt;"",'Project Register'!F117&lt;'Project Register'!E117),"End before start. ","")&amp;IF(NOT(ISNUMBER('Project Register'!G117)),"Effort missing. ","")&amp;IF(D117=0,"No resource. ","")&amp;IF(AND('Project Register'!H117&lt;&gt;"",'Project Register'!I117=""),"Role 1 missing. ","")&amp;IF(AND('Project Register'!J117&lt;&gt;"",'Project Register'!K117=""),"Role 2 missing. ","")&amp;IF(AND('Project Register'!L117&lt;&gt;"",'Project Register'!M117=""),"Role 3 missing. ","")&amp;IF(OR(AND('Project Register'!H117&lt;&gt;"",'Project Register'!H117='Project Register'!J117),AND('Project Register'!H117&lt;&gt;"",'Project Register'!H117='Project Register'!L117),AND('Project Register'!J117&lt;&gt;"",'Project Register'!J117='Project Register'!L117)),"Same person listed twice. ","")&amp;IF(AND('Project Register'!H117&lt;&gt;"",COUNTIF(Resources!$A$2:$A$51,'Project Register'!H117)=0),"Resource 1 not in Resources sheet. ","")&amp;IF(AND('Project Register'!J117&lt;&gt;"",COUNTIF(Resources!$A$2:$A$51,'Project Register'!J117)=0),"Resource 2 not in Resources sheet. ","")&amp;IF(AND('Project Register'!L117&lt;&gt;"",COUNTIF(Resources!$A$2:$A$51,'Project Register'!L117)=0),"Resource 3 not in Resources sheet. ","")&amp;IF('Project Register'!O117="","Test Status missing. ","")&amp;IF(AND(ISNUMBER(E117),E117&gt;1),"This task alone needs over 100% per person. ","")&amp;IF(AND('Project Register'!Q117="Deployed in Live",'Project Register'!R117=""),"Release Date blank (import date will be used). ","")))</f>
        <v/>
      </c>
      <c r="G117" s="17" t="str">
        <f aca="false">IF('Project Register'!$A117="","",IF(F117="","OK","Check"))</f>
        <v/>
      </c>
    </row>
    <row r="118" customFormat="false" ht="15" hidden="false" customHeight="false" outlineLevel="0" collapsed="false">
      <c r="A118" s="15" t="str">
        <f aca="false">IF('Project Register'!$A118="","",ROW('Project Register'!A118))</f>
        <v/>
      </c>
      <c r="B118" s="15" t="str">
        <f aca="false">IF('Project Register'!$A118="","",'Project Register'!B118)</f>
        <v/>
      </c>
      <c r="C118" s="15" t="str">
        <f aca="false">IF('Project Register'!$A118="","",IF(OR('Project Register'!E118="",'Project Register'!F118=""),"",IF('Project Register'!F118&lt;'Project Register'!E118,0,NETWORKDAYS.INTL('Project Register'!E118,'Project Register'!F118,"0000110",Holidays_Leave!$A$3:$A$62))))</f>
        <v/>
      </c>
      <c r="D118" s="15" t="str">
        <f aca="false">IF('Project Register'!$A118="","",('Project Register'!H118&lt;&gt;"")+('Project Register'!J118&lt;&gt;"")+('Project Register'!L118&lt;&gt;""))</f>
        <v/>
      </c>
      <c r="E118" s="16" t="str">
        <f aca="false">IF(OR(C118="",D118="",'Project Register'!G118=""),"",IF(OR(C118=0,D118=0),"",'Project Register'!G118/(C118*D118)))</f>
        <v/>
      </c>
      <c r="F118" s="15" t="str">
        <f aca="false">IF('Project Register'!$A118="","",TRIM(IF(OR('Project Register'!E118="",'Project Register'!F118=""),"Missing date. ","")&amp;IF(AND('Project Register'!E118&lt;&gt;"",'Project Register'!F118&lt;&gt;"",'Project Register'!F118&lt;'Project Register'!E118),"End before start. ","")&amp;IF(NOT(ISNUMBER('Project Register'!G118)),"Effort missing. ","")&amp;IF(D118=0,"No resource. ","")&amp;IF(AND('Project Register'!H118&lt;&gt;"",'Project Register'!I118=""),"Role 1 missing. ","")&amp;IF(AND('Project Register'!J118&lt;&gt;"",'Project Register'!K118=""),"Role 2 missing. ","")&amp;IF(AND('Project Register'!L118&lt;&gt;"",'Project Register'!M118=""),"Role 3 missing. ","")&amp;IF(OR(AND('Project Register'!H118&lt;&gt;"",'Project Register'!H118='Project Register'!J118),AND('Project Register'!H118&lt;&gt;"",'Project Register'!H118='Project Register'!L118),AND('Project Register'!J118&lt;&gt;"",'Project Register'!J118='Project Register'!L118)),"Same person listed twice. ","")&amp;IF(AND('Project Register'!H118&lt;&gt;"",COUNTIF(Resources!$A$2:$A$51,'Project Register'!H118)=0),"Resource 1 not in Resources sheet. ","")&amp;IF(AND('Project Register'!J118&lt;&gt;"",COUNTIF(Resources!$A$2:$A$51,'Project Register'!J118)=0),"Resource 2 not in Resources sheet. ","")&amp;IF(AND('Project Register'!L118&lt;&gt;"",COUNTIF(Resources!$A$2:$A$51,'Project Register'!L118)=0),"Resource 3 not in Resources sheet. ","")&amp;IF('Project Register'!O118="","Test Status missing. ","")&amp;IF(AND(ISNUMBER(E118),E118&gt;1),"This task alone needs over 100% per person. ","")&amp;IF(AND('Project Register'!Q118="Deployed in Live",'Project Register'!R118=""),"Release Date blank (import date will be used). ","")))</f>
        <v/>
      </c>
      <c r="G118" s="17" t="str">
        <f aca="false">IF('Project Register'!$A118="","",IF(F118="","OK","Check"))</f>
        <v/>
      </c>
    </row>
    <row r="119" customFormat="false" ht="15" hidden="false" customHeight="false" outlineLevel="0" collapsed="false">
      <c r="A119" s="15" t="str">
        <f aca="false">IF('Project Register'!$A119="","",ROW('Project Register'!A119))</f>
        <v/>
      </c>
      <c r="B119" s="15" t="str">
        <f aca="false">IF('Project Register'!$A119="","",'Project Register'!B119)</f>
        <v/>
      </c>
      <c r="C119" s="15" t="str">
        <f aca="false">IF('Project Register'!$A119="","",IF(OR('Project Register'!E119="",'Project Register'!F119=""),"",IF('Project Register'!F119&lt;'Project Register'!E119,0,NETWORKDAYS.INTL('Project Register'!E119,'Project Register'!F119,"0000110",Holidays_Leave!$A$3:$A$62))))</f>
        <v/>
      </c>
      <c r="D119" s="15" t="str">
        <f aca="false">IF('Project Register'!$A119="","",('Project Register'!H119&lt;&gt;"")+('Project Register'!J119&lt;&gt;"")+('Project Register'!L119&lt;&gt;""))</f>
        <v/>
      </c>
      <c r="E119" s="16" t="str">
        <f aca="false">IF(OR(C119="",D119="",'Project Register'!G119=""),"",IF(OR(C119=0,D119=0),"",'Project Register'!G119/(C119*D119)))</f>
        <v/>
      </c>
      <c r="F119" s="15" t="str">
        <f aca="false">IF('Project Register'!$A119="","",TRIM(IF(OR('Project Register'!E119="",'Project Register'!F119=""),"Missing date. ","")&amp;IF(AND('Project Register'!E119&lt;&gt;"",'Project Register'!F119&lt;&gt;"",'Project Register'!F119&lt;'Project Register'!E119),"End before start. ","")&amp;IF(NOT(ISNUMBER('Project Register'!G119)),"Effort missing. ","")&amp;IF(D119=0,"No resource. ","")&amp;IF(AND('Project Register'!H119&lt;&gt;"",'Project Register'!I119=""),"Role 1 missing. ","")&amp;IF(AND('Project Register'!J119&lt;&gt;"",'Project Register'!K119=""),"Role 2 missing. ","")&amp;IF(AND('Project Register'!L119&lt;&gt;"",'Project Register'!M119=""),"Role 3 missing. ","")&amp;IF(OR(AND('Project Register'!H119&lt;&gt;"",'Project Register'!H119='Project Register'!J119),AND('Project Register'!H119&lt;&gt;"",'Project Register'!H119='Project Register'!L119),AND('Project Register'!J119&lt;&gt;"",'Project Register'!J119='Project Register'!L119)),"Same person listed twice. ","")&amp;IF(AND('Project Register'!H119&lt;&gt;"",COUNTIF(Resources!$A$2:$A$51,'Project Register'!H119)=0),"Resource 1 not in Resources sheet. ","")&amp;IF(AND('Project Register'!J119&lt;&gt;"",COUNTIF(Resources!$A$2:$A$51,'Project Register'!J119)=0),"Resource 2 not in Resources sheet. ","")&amp;IF(AND('Project Register'!L119&lt;&gt;"",COUNTIF(Resources!$A$2:$A$51,'Project Register'!L119)=0),"Resource 3 not in Resources sheet. ","")&amp;IF('Project Register'!O119="","Test Status missing. ","")&amp;IF(AND(ISNUMBER(E119),E119&gt;1),"This task alone needs over 100% per person. ","")&amp;IF(AND('Project Register'!Q119="Deployed in Live",'Project Register'!R119=""),"Release Date blank (import date will be used). ","")))</f>
        <v/>
      </c>
      <c r="G119" s="17" t="str">
        <f aca="false">IF('Project Register'!$A119="","",IF(F119="","OK","Check"))</f>
        <v/>
      </c>
    </row>
    <row r="120" customFormat="false" ht="15" hidden="false" customHeight="false" outlineLevel="0" collapsed="false">
      <c r="A120" s="15" t="str">
        <f aca="false">IF('Project Register'!$A120="","",ROW('Project Register'!A120))</f>
        <v/>
      </c>
      <c r="B120" s="15" t="str">
        <f aca="false">IF('Project Register'!$A120="","",'Project Register'!B120)</f>
        <v/>
      </c>
      <c r="C120" s="15" t="str">
        <f aca="false">IF('Project Register'!$A120="","",IF(OR('Project Register'!E120="",'Project Register'!F120=""),"",IF('Project Register'!F120&lt;'Project Register'!E120,0,NETWORKDAYS.INTL('Project Register'!E120,'Project Register'!F120,"0000110",Holidays_Leave!$A$3:$A$62))))</f>
        <v/>
      </c>
      <c r="D120" s="15" t="str">
        <f aca="false">IF('Project Register'!$A120="","",('Project Register'!H120&lt;&gt;"")+('Project Register'!J120&lt;&gt;"")+('Project Register'!L120&lt;&gt;""))</f>
        <v/>
      </c>
      <c r="E120" s="16" t="str">
        <f aca="false">IF(OR(C120="",D120="",'Project Register'!G120=""),"",IF(OR(C120=0,D120=0),"",'Project Register'!G120/(C120*D120)))</f>
        <v/>
      </c>
      <c r="F120" s="15" t="str">
        <f aca="false">IF('Project Register'!$A120="","",TRIM(IF(OR('Project Register'!E120="",'Project Register'!F120=""),"Missing date. ","")&amp;IF(AND('Project Register'!E120&lt;&gt;"",'Project Register'!F120&lt;&gt;"",'Project Register'!F120&lt;'Project Register'!E120),"End before start. ","")&amp;IF(NOT(ISNUMBER('Project Register'!G120)),"Effort missing. ","")&amp;IF(D120=0,"No resource. ","")&amp;IF(AND('Project Register'!H120&lt;&gt;"",'Project Register'!I120=""),"Role 1 missing. ","")&amp;IF(AND('Project Register'!J120&lt;&gt;"",'Project Register'!K120=""),"Role 2 missing. ","")&amp;IF(AND('Project Register'!L120&lt;&gt;"",'Project Register'!M120=""),"Role 3 missing. ","")&amp;IF(OR(AND('Project Register'!H120&lt;&gt;"",'Project Register'!H120='Project Register'!J120),AND('Project Register'!H120&lt;&gt;"",'Project Register'!H120='Project Register'!L120),AND('Project Register'!J120&lt;&gt;"",'Project Register'!J120='Project Register'!L120)),"Same person listed twice. ","")&amp;IF(AND('Project Register'!H120&lt;&gt;"",COUNTIF(Resources!$A$2:$A$51,'Project Register'!H120)=0),"Resource 1 not in Resources sheet. ","")&amp;IF(AND('Project Register'!J120&lt;&gt;"",COUNTIF(Resources!$A$2:$A$51,'Project Register'!J120)=0),"Resource 2 not in Resources sheet. ","")&amp;IF(AND('Project Register'!L120&lt;&gt;"",COUNTIF(Resources!$A$2:$A$51,'Project Register'!L120)=0),"Resource 3 not in Resources sheet. ","")&amp;IF('Project Register'!O120="","Test Status missing. ","")&amp;IF(AND(ISNUMBER(E120),E120&gt;1),"This task alone needs over 100% per person. ","")&amp;IF(AND('Project Register'!Q120="Deployed in Live",'Project Register'!R120=""),"Release Date blank (import date will be used). ","")))</f>
        <v/>
      </c>
      <c r="G120" s="17" t="str">
        <f aca="false">IF('Project Register'!$A120="","",IF(F120="","OK","Check"))</f>
        <v/>
      </c>
    </row>
    <row r="121" customFormat="false" ht="15" hidden="false" customHeight="false" outlineLevel="0" collapsed="false">
      <c r="A121" s="15" t="str">
        <f aca="false">IF('Project Register'!$A121="","",ROW('Project Register'!A121))</f>
        <v/>
      </c>
      <c r="B121" s="15" t="str">
        <f aca="false">IF('Project Register'!$A121="","",'Project Register'!B121)</f>
        <v/>
      </c>
      <c r="C121" s="15" t="str">
        <f aca="false">IF('Project Register'!$A121="","",IF(OR('Project Register'!E121="",'Project Register'!F121=""),"",IF('Project Register'!F121&lt;'Project Register'!E121,0,NETWORKDAYS.INTL('Project Register'!E121,'Project Register'!F121,"0000110",Holidays_Leave!$A$3:$A$62))))</f>
        <v/>
      </c>
      <c r="D121" s="15" t="str">
        <f aca="false">IF('Project Register'!$A121="","",('Project Register'!H121&lt;&gt;"")+('Project Register'!J121&lt;&gt;"")+('Project Register'!L121&lt;&gt;""))</f>
        <v/>
      </c>
      <c r="E121" s="16" t="str">
        <f aca="false">IF(OR(C121="",D121="",'Project Register'!G121=""),"",IF(OR(C121=0,D121=0),"",'Project Register'!G121/(C121*D121)))</f>
        <v/>
      </c>
      <c r="F121" s="15" t="str">
        <f aca="false">IF('Project Register'!$A121="","",TRIM(IF(OR('Project Register'!E121="",'Project Register'!F121=""),"Missing date. ","")&amp;IF(AND('Project Register'!E121&lt;&gt;"",'Project Register'!F121&lt;&gt;"",'Project Register'!F121&lt;'Project Register'!E121),"End before start. ","")&amp;IF(NOT(ISNUMBER('Project Register'!G121)),"Effort missing. ","")&amp;IF(D121=0,"No resource. ","")&amp;IF(AND('Project Register'!H121&lt;&gt;"",'Project Register'!I121=""),"Role 1 missing. ","")&amp;IF(AND('Project Register'!J121&lt;&gt;"",'Project Register'!K121=""),"Role 2 missing. ","")&amp;IF(AND('Project Register'!L121&lt;&gt;"",'Project Register'!M121=""),"Role 3 missing. ","")&amp;IF(OR(AND('Project Register'!H121&lt;&gt;"",'Project Register'!H121='Project Register'!J121),AND('Project Register'!H121&lt;&gt;"",'Project Register'!H121='Project Register'!L121),AND('Project Register'!J121&lt;&gt;"",'Project Register'!J121='Project Register'!L121)),"Same person listed twice. ","")&amp;IF(AND('Project Register'!H121&lt;&gt;"",COUNTIF(Resources!$A$2:$A$51,'Project Register'!H121)=0),"Resource 1 not in Resources sheet. ","")&amp;IF(AND('Project Register'!J121&lt;&gt;"",COUNTIF(Resources!$A$2:$A$51,'Project Register'!J121)=0),"Resource 2 not in Resources sheet. ","")&amp;IF(AND('Project Register'!L121&lt;&gt;"",COUNTIF(Resources!$A$2:$A$51,'Project Register'!L121)=0),"Resource 3 not in Resources sheet. ","")&amp;IF('Project Register'!O121="","Test Status missing. ","")&amp;IF(AND(ISNUMBER(E121),E121&gt;1),"This task alone needs over 100% per person. ","")&amp;IF(AND('Project Register'!Q121="Deployed in Live",'Project Register'!R121=""),"Release Date blank (import date will be used). ","")))</f>
        <v/>
      </c>
      <c r="G121" s="17" t="str">
        <f aca="false">IF('Project Register'!$A121="","",IF(F121="","OK","Check"))</f>
        <v/>
      </c>
    </row>
    <row r="122" customFormat="false" ht="15" hidden="false" customHeight="false" outlineLevel="0" collapsed="false">
      <c r="A122" s="15" t="str">
        <f aca="false">IF('Project Register'!$A122="","",ROW('Project Register'!A122))</f>
        <v/>
      </c>
      <c r="B122" s="15" t="str">
        <f aca="false">IF('Project Register'!$A122="","",'Project Register'!B122)</f>
        <v/>
      </c>
      <c r="C122" s="15" t="str">
        <f aca="false">IF('Project Register'!$A122="","",IF(OR('Project Register'!E122="",'Project Register'!F122=""),"",IF('Project Register'!F122&lt;'Project Register'!E122,0,NETWORKDAYS.INTL('Project Register'!E122,'Project Register'!F122,"0000110",Holidays_Leave!$A$3:$A$62))))</f>
        <v/>
      </c>
      <c r="D122" s="15" t="str">
        <f aca="false">IF('Project Register'!$A122="","",('Project Register'!H122&lt;&gt;"")+('Project Register'!J122&lt;&gt;"")+('Project Register'!L122&lt;&gt;""))</f>
        <v/>
      </c>
      <c r="E122" s="16" t="str">
        <f aca="false">IF(OR(C122="",D122="",'Project Register'!G122=""),"",IF(OR(C122=0,D122=0),"",'Project Register'!G122/(C122*D122)))</f>
        <v/>
      </c>
      <c r="F122" s="15" t="str">
        <f aca="false">IF('Project Register'!$A122="","",TRIM(IF(OR('Project Register'!E122="",'Project Register'!F122=""),"Missing date. ","")&amp;IF(AND('Project Register'!E122&lt;&gt;"",'Project Register'!F122&lt;&gt;"",'Project Register'!F122&lt;'Project Register'!E122),"End before start. ","")&amp;IF(NOT(ISNUMBER('Project Register'!G122)),"Effort missing. ","")&amp;IF(D122=0,"No resource. ","")&amp;IF(AND('Project Register'!H122&lt;&gt;"",'Project Register'!I122=""),"Role 1 missing. ","")&amp;IF(AND('Project Register'!J122&lt;&gt;"",'Project Register'!K122=""),"Role 2 missing. ","")&amp;IF(AND('Project Register'!L122&lt;&gt;"",'Project Register'!M122=""),"Role 3 missing. ","")&amp;IF(OR(AND('Project Register'!H122&lt;&gt;"",'Project Register'!H122='Project Register'!J122),AND('Project Register'!H122&lt;&gt;"",'Project Register'!H122='Project Register'!L122),AND('Project Register'!J122&lt;&gt;"",'Project Register'!J122='Project Register'!L122)),"Same person listed twice. ","")&amp;IF(AND('Project Register'!H122&lt;&gt;"",COUNTIF(Resources!$A$2:$A$51,'Project Register'!H122)=0),"Resource 1 not in Resources sheet. ","")&amp;IF(AND('Project Register'!J122&lt;&gt;"",COUNTIF(Resources!$A$2:$A$51,'Project Register'!J122)=0),"Resource 2 not in Resources sheet. ","")&amp;IF(AND('Project Register'!L122&lt;&gt;"",COUNTIF(Resources!$A$2:$A$51,'Project Register'!L122)=0),"Resource 3 not in Resources sheet. ","")&amp;IF('Project Register'!O122="","Test Status missing. ","")&amp;IF(AND(ISNUMBER(E122),E122&gt;1),"This task alone needs over 100% per person. ","")&amp;IF(AND('Project Register'!Q122="Deployed in Live",'Project Register'!R122=""),"Release Date blank (import date will be used). ","")))</f>
        <v/>
      </c>
      <c r="G122" s="17" t="str">
        <f aca="false">IF('Project Register'!$A122="","",IF(F122="","OK","Check"))</f>
        <v/>
      </c>
    </row>
    <row r="123" customFormat="false" ht="15" hidden="false" customHeight="false" outlineLevel="0" collapsed="false">
      <c r="A123" s="15" t="str">
        <f aca="false">IF('Project Register'!$A123="","",ROW('Project Register'!A123))</f>
        <v/>
      </c>
      <c r="B123" s="15" t="str">
        <f aca="false">IF('Project Register'!$A123="","",'Project Register'!B123)</f>
        <v/>
      </c>
      <c r="C123" s="15" t="str">
        <f aca="false">IF('Project Register'!$A123="","",IF(OR('Project Register'!E123="",'Project Register'!F123=""),"",IF('Project Register'!F123&lt;'Project Register'!E123,0,NETWORKDAYS.INTL('Project Register'!E123,'Project Register'!F123,"0000110",Holidays_Leave!$A$3:$A$62))))</f>
        <v/>
      </c>
      <c r="D123" s="15" t="str">
        <f aca="false">IF('Project Register'!$A123="","",('Project Register'!H123&lt;&gt;"")+('Project Register'!J123&lt;&gt;"")+('Project Register'!L123&lt;&gt;""))</f>
        <v/>
      </c>
      <c r="E123" s="16" t="str">
        <f aca="false">IF(OR(C123="",D123="",'Project Register'!G123=""),"",IF(OR(C123=0,D123=0),"",'Project Register'!G123/(C123*D123)))</f>
        <v/>
      </c>
      <c r="F123" s="15" t="str">
        <f aca="false">IF('Project Register'!$A123="","",TRIM(IF(OR('Project Register'!E123="",'Project Register'!F123=""),"Missing date. ","")&amp;IF(AND('Project Register'!E123&lt;&gt;"",'Project Register'!F123&lt;&gt;"",'Project Register'!F123&lt;'Project Register'!E123),"End before start. ","")&amp;IF(NOT(ISNUMBER('Project Register'!G123)),"Effort missing. ","")&amp;IF(D123=0,"No resource. ","")&amp;IF(AND('Project Register'!H123&lt;&gt;"",'Project Register'!I123=""),"Role 1 missing. ","")&amp;IF(AND('Project Register'!J123&lt;&gt;"",'Project Register'!K123=""),"Role 2 missing. ","")&amp;IF(AND('Project Register'!L123&lt;&gt;"",'Project Register'!M123=""),"Role 3 missing. ","")&amp;IF(OR(AND('Project Register'!H123&lt;&gt;"",'Project Register'!H123='Project Register'!J123),AND('Project Register'!H123&lt;&gt;"",'Project Register'!H123='Project Register'!L123),AND('Project Register'!J123&lt;&gt;"",'Project Register'!J123='Project Register'!L123)),"Same person listed twice. ","")&amp;IF(AND('Project Register'!H123&lt;&gt;"",COUNTIF(Resources!$A$2:$A$51,'Project Register'!H123)=0),"Resource 1 not in Resources sheet. ","")&amp;IF(AND('Project Register'!J123&lt;&gt;"",COUNTIF(Resources!$A$2:$A$51,'Project Register'!J123)=0),"Resource 2 not in Resources sheet. ","")&amp;IF(AND('Project Register'!L123&lt;&gt;"",COUNTIF(Resources!$A$2:$A$51,'Project Register'!L123)=0),"Resource 3 not in Resources sheet. ","")&amp;IF('Project Register'!O123="","Test Status missing. ","")&amp;IF(AND(ISNUMBER(E123),E123&gt;1),"This task alone needs over 100% per person. ","")&amp;IF(AND('Project Register'!Q123="Deployed in Live",'Project Register'!R123=""),"Release Date blank (import date will be used). ","")))</f>
        <v/>
      </c>
      <c r="G123" s="17" t="str">
        <f aca="false">IF('Project Register'!$A123="","",IF(F123="","OK","Check"))</f>
        <v/>
      </c>
    </row>
    <row r="124" customFormat="false" ht="15" hidden="false" customHeight="false" outlineLevel="0" collapsed="false">
      <c r="A124" s="15" t="str">
        <f aca="false">IF('Project Register'!$A124="","",ROW('Project Register'!A124))</f>
        <v/>
      </c>
      <c r="B124" s="15" t="str">
        <f aca="false">IF('Project Register'!$A124="","",'Project Register'!B124)</f>
        <v/>
      </c>
      <c r="C124" s="15" t="str">
        <f aca="false">IF('Project Register'!$A124="","",IF(OR('Project Register'!E124="",'Project Register'!F124=""),"",IF('Project Register'!F124&lt;'Project Register'!E124,0,NETWORKDAYS.INTL('Project Register'!E124,'Project Register'!F124,"0000110",Holidays_Leave!$A$3:$A$62))))</f>
        <v/>
      </c>
      <c r="D124" s="15" t="str">
        <f aca="false">IF('Project Register'!$A124="","",('Project Register'!H124&lt;&gt;"")+('Project Register'!J124&lt;&gt;"")+('Project Register'!L124&lt;&gt;""))</f>
        <v/>
      </c>
      <c r="E124" s="16" t="str">
        <f aca="false">IF(OR(C124="",D124="",'Project Register'!G124=""),"",IF(OR(C124=0,D124=0),"",'Project Register'!G124/(C124*D124)))</f>
        <v/>
      </c>
      <c r="F124" s="15" t="str">
        <f aca="false">IF('Project Register'!$A124="","",TRIM(IF(OR('Project Register'!E124="",'Project Register'!F124=""),"Missing date. ","")&amp;IF(AND('Project Register'!E124&lt;&gt;"",'Project Register'!F124&lt;&gt;"",'Project Register'!F124&lt;'Project Register'!E124),"End before start. ","")&amp;IF(NOT(ISNUMBER('Project Register'!G124)),"Effort missing. ","")&amp;IF(D124=0,"No resource. ","")&amp;IF(AND('Project Register'!H124&lt;&gt;"",'Project Register'!I124=""),"Role 1 missing. ","")&amp;IF(AND('Project Register'!J124&lt;&gt;"",'Project Register'!K124=""),"Role 2 missing. ","")&amp;IF(AND('Project Register'!L124&lt;&gt;"",'Project Register'!M124=""),"Role 3 missing. ","")&amp;IF(OR(AND('Project Register'!H124&lt;&gt;"",'Project Register'!H124='Project Register'!J124),AND('Project Register'!H124&lt;&gt;"",'Project Register'!H124='Project Register'!L124),AND('Project Register'!J124&lt;&gt;"",'Project Register'!J124='Project Register'!L124)),"Same person listed twice. ","")&amp;IF(AND('Project Register'!H124&lt;&gt;"",COUNTIF(Resources!$A$2:$A$51,'Project Register'!H124)=0),"Resource 1 not in Resources sheet. ","")&amp;IF(AND('Project Register'!J124&lt;&gt;"",COUNTIF(Resources!$A$2:$A$51,'Project Register'!J124)=0),"Resource 2 not in Resources sheet. ","")&amp;IF(AND('Project Register'!L124&lt;&gt;"",COUNTIF(Resources!$A$2:$A$51,'Project Register'!L124)=0),"Resource 3 not in Resources sheet. ","")&amp;IF('Project Register'!O124="","Test Status missing. ","")&amp;IF(AND(ISNUMBER(E124),E124&gt;1),"This task alone needs over 100% per person. ","")&amp;IF(AND('Project Register'!Q124="Deployed in Live",'Project Register'!R124=""),"Release Date blank (import date will be used). ","")))</f>
        <v/>
      </c>
      <c r="G124" s="17" t="str">
        <f aca="false">IF('Project Register'!$A124="","",IF(F124="","OK","Check"))</f>
        <v/>
      </c>
    </row>
    <row r="125" customFormat="false" ht="15" hidden="false" customHeight="false" outlineLevel="0" collapsed="false">
      <c r="A125" s="15" t="str">
        <f aca="false">IF('Project Register'!$A125="","",ROW('Project Register'!A125))</f>
        <v/>
      </c>
      <c r="B125" s="15" t="str">
        <f aca="false">IF('Project Register'!$A125="","",'Project Register'!B125)</f>
        <v/>
      </c>
      <c r="C125" s="15" t="str">
        <f aca="false">IF('Project Register'!$A125="","",IF(OR('Project Register'!E125="",'Project Register'!F125=""),"",IF('Project Register'!F125&lt;'Project Register'!E125,0,NETWORKDAYS.INTL('Project Register'!E125,'Project Register'!F125,"0000110",Holidays_Leave!$A$3:$A$62))))</f>
        <v/>
      </c>
      <c r="D125" s="15" t="str">
        <f aca="false">IF('Project Register'!$A125="","",('Project Register'!H125&lt;&gt;"")+('Project Register'!J125&lt;&gt;"")+('Project Register'!L125&lt;&gt;""))</f>
        <v/>
      </c>
      <c r="E125" s="16" t="str">
        <f aca="false">IF(OR(C125="",D125="",'Project Register'!G125=""),"",IF(OR(C125=0,D125=0),"",'Project Register'!G125/(C125*D125)))</f>
        <v/>
      </c>
      <c r="F125" s="15" t="str">
        <f aca="false">IF('Project Register'!$A125="","",TRIM(IF(OR('Project Register'!E125="",'Project Register'!F125=""),"Missing date. ","")&amp;IF(AND('Project Register'!E125&lt;&gt;"",'Project Register'!F125&lt;&gt;"",'Project Register'!F125&lt;'Project Register'!E125),"End before start. ","")&amp;IF(NOT(ISNUMBER('Project Register'!G125)),"Effort missing. ","")&amp;IF(D125=0,"No resource. ","")&amp;IF(AND('Project Register'!H125&lt;&gt;"",'Project Register'!I125=""),"Role 1 missing. ","")&amp;IF(AND('Project Register'!J125&lt;&gt;"",'Project Register'!K125=""),"Role 2 missing. ","")&amp;IF(AND('Project Register'!L125&lt;&gt;"",'Project Register'!M125=""),"Role 3 missing. ","")&amp;IF(OR(AND('Project Register'!H125&lt;&gt;"",'Project Register'!H125='Project Register'!J125),AND('Project Register'!H125&lt;&gt;"",'Project Register'!H125='Project Register'!L125),AND('Project Register'!J125&lt;&gt;"",'Project Register'!J125='Project Register'!L125)),"Same person listed twice. ","")&amp;IF(AND('Project Register'!H125&lt;&gt;"",COUNTIF(Resources!$A$2:$A$51,'Project Register'!H125)=0),"Resource 1 not in Resources sheet. ","")&amp;IF(AND('Project Register'!J125&lt;&gt;"",COUNTIF(Resources!$A$2:$A$51,'Project Register'!J125)=0),"Resource 2 not in Resources sheet. ","")&amp;IF(AND('Project Register'!L125&lt;&gt;"",COUNTIF(Resources!$A$2:$A$51,'Project Register'!L125)=0),"Resource 3 not in Resources sheet. ","")&amp;IF('Project Register'!O125="","Test Status missing. ","")&amp;IF(AND(ISNUMBER(E125),E125&gt;1),"This task alone needs over 100% per person. ","")&amp;IF(AND('Project Register'!Q125="Deployed in Live",'Project Register'!R125=""),"Release Date blank (import date will be used). ","")))</f>
        <v/>
      </c>
      <c r="G125" s="17" t="str">
        <f aca="false">IF('Project Register'!$A125="","",IF(F125="","OK","Check"))</f>
        <v/>
      </c>
    </row>
    <row r="126" customFormat="false" ht="15" hidden="false" customHeight="false" outlineLevel="0" collapsed="false">
      <c r="A126" s="15" t="str">
        <f aca="false">IF('Project Register'!$A126="","",ROW('Project Register'!A126))</f>
        <v/>
      </c>
      <c r="B126" s="15" t="str">
        <f aca="false">IF('Project Register'!$A126="","",'Project Register'!B126)</f>
        <v/>
      </c>
      <c r="C126" s="15" t="str">
        <f aca="false">IF('Project Register'!$A126="","",IF(OR('Project Register'!E126="",'Project Register'!F126=""),"",IF('Project Register'!F126&lt;'Project Register'!E126,0,NETWORKDAYS.INTL('Project Register'!E126,'Project Register'!F126,"0000110",Holidays_Leave!$A$3:$A$62))))</f>
        <v/>
      </c>
      <c r="D126" s="15" t="str">
        <f aca="false">IF('Project Register'!$A126="","",('Project Register'!H126&lt;&gt;"")+('Project Register'!J126&lt;&gt;"")+('Project Register'!L126&lt;&gt;""))</f>
        <v/>
      </c>
      <c r="E126" s="16" t="str">
        <f aca="false">IF(OR(C126="",D126="",'Project Register'!G126=""),"",IF(OR(C126=0,D126=0),"",'Project Register'!G126/(C126*D126)))</f>
        <v/>
      </c>
      <c r="F126" s="15" t="str">
        <f aca="false">IF('Project Register'!$A126="","",TRIM(IF(OR('Project Register'!E126="",'Project Register'!F126=""),"Missing date. ","")&amp;IF(AND('Project Register'!E126&lt;&gt;"",'Project Register'!F126&lt;&gt;"",'Project Register'!F126&lt;'Project Register'!E126),"End before start. ","")&amp;IF(NOT(ISNUMBER('Project Register'!G126)),"Effort missing. ","")&amp;IF(D126=0,"No resource. ","")&amp;IF(AND('Project Register'!H126&lt;&gt;"",'Project Register'!I126=""),"Role 1 missing. ","")&amp;IF(AND('Project Register'!J126&lt;&gt;"",'Project Register'!K126=""),"Role 2 missing. ","")&amp;IF(AND('Project Register'!L126&lt;&gt;"",'Project Register'!M126=""),"Role 3 missing. ","")&amp;IF(OR(AND('Project Register'!H126&lt;&gt;"",'Project Register'!H126='Project Register'!J126),AND('Project Register'!H126&lt;&gt;"",'Project Register'!H126='Project Register'!L126),AND('Project Register'!J126&lt;&gt;"",'Project Register'!J126='Project Register'!L126)),"Same person listed twice. ","")&amp;IF(AND('Project Register'!H126&lt;&gt;"",COUNTIF(Resources!$A$2:$A$51,'Project Register'!H126)=0),"Resource 1 not in Resources sheet. ","")&amp;IF(AND('Project Register'!J126&lt;&gt;"",COUNTIF(Resources!$A$2:$A$51,'Project Register'!J126)=0),"Resource 2 not in Resources sheet. ","")&amp;IF(AND('Project Register'!L126&lt;&gt;"",COUNTIF(Resources!$A$2:$A$51,'Project Register'!L126)=0),"Resource 3 not in Resources sheet. ","")&amp;IF('Project Register'!O126="","Test Status missing. ","")&amp;IF(AND(ISNUMBER(E126),E126&gt;1),"This task alone needs over 100% per person. ","")&amp;IF(AND('Project Register'!Q126="Deployed in Live",'Project Register'!R126=""),"Release Date blank (import date will be used). ","")))</f>
        <v/>
      </c>
      <c r="G126" s="17" t="str">
        <f aca="false">IF('Project Register'!$A126="","",IF(F126="","OK","Check"))</f>
        <v/>
      </c>
    </row>
    <row r="127" customFormat="false" ht="15" hidden="false" customHeight="false" outlineLevel="0" collapsed="false">
      <c r="A127" s="15" t="str">
        <f aca="false">IF('Project Register'!$A127="","",ROW('Project Register'!A127))</f>
        <v/>
      </c>
      <c r="B127" s="15" t="str">
        <f aca="false">IF('Project Register'!$A127="","",'Project Register'!B127)</f>
        <v/>
      </c>
      <c r="C127" s="15" t="str">
        <f aca="false">IF('Project Register'!$A127="","",IF(OR('Project Register'!E127="",'Project Register'!F127=""),"",IF('Project Register'!F127&lt;'Project Register'!E127,0,NETWORKDAYS.INTL('Project Register'!E127,'Project Register'!F127,"0000110",Holidays_Leave!$A$3:$A$62))))</f>
        <v/>
      </c>
      <c r="D127" s="15" t="str">
        <f aca="false">IF('Project Register'!$A127="","",('Project Register'!H127&lt;&gt;"")+('Project Register'!J127&lt;&gt;"")+('Project Register'!L127&lt;&gt;""))</f>
        <v/>
      </c>
      <c r="E127" s="16" t="str">
        <f aca="false">IF(OR(C127="",D127="",'Project Register'!G127=""),"",IF(OR(C127=0,D127=0),"",'Project Register'!G127/(C127*D127)))</f>
        <v/>
      </c>
      <c r="F127" s="15" t="str">
        <f aca="false">IF('Project Register'!$A127="","",TRIM(IF(OR('Project Register'!E127="",'Project Register'!F127=""),"Missing date. ","")&amp;IF(AND('Project Register'!E127&lt;&gt;"",'Project Register'!F127&lt;&gt;"",'Project Register'!F127&lt;'Project Register'!E127),"End before start. ","")&amp;IF(NOT(ISNUMBER('Project Register'!G127)),"Effort missing. ","")&amp;IF(D127=0,"No resource. ","")&amp;IF(AND('Project Register'!H127&lt;&gt;"",'Project Register'!I127=""),"Role 1 missing. ","")&amp;IF(AND('Project Register'!J127&lt;&gt;"",'Project Register'!K127=""),"Role 2 missing. ","")&amp;IF(AND('Project Register'!L127&lt;&gt;"",'Project Register'!M127=""),"Role 3 missing. ","")&amp;IF(OR(AND('Project Register'!H127&lt;&gt;"",'Project Register'!H127='Project Register'!J127),AND('Project Register'!H127&lt;&gt;"",'Project Register'!H127='Project Register'!L127),AND('Project Register'!J127&lt;&gt;"",'Project Register'!J127='Project Register'!L127)),"Same person listed twice. ","")&amp;IF(AND('Project Register'!H127&lt;&gt;"",COUNTIF(Resources!$A$2:$A$51,'Project Register'!H127)=0),"Resource 1 not in Resources sheet. ","")&amp;IF(AND('Project Register'!J127&lt;&gt;"",COUNTIF(Resources!$A$2:$A$51,'Project Register'!J127)=0),"Resource 2 not in Resources sheet. ","")&amp;IF(AND('Project Register'!L127&lt;&gt;"",COUNTIF(Resources!$A$2:$A$51,'Project Register'!L127)=0),"Resource 3 not in Resources sheet. ","")&amp;IF('Project Register'!O127="","Test Status missing. ","")&amp;IF(AND(ISNUMBER(E127),E127&gt;1),"This task alone needs over 100% per person. ","")&amp;IF(AND('Project Register'!Q127="Deployed in Live",'Project Register'!R127=""),"Release Date blank (import date will be used). ","")))</f>
        <v/>
      </c>
      <c r="G127" s="17" t="str">
        <f aca="false">IF('Project Register'!$A127="","",IF(F127="","OK","Check"))</f>
        <v/>
      </c>
    </row>
    <row r="128" customFormat="false" ht="15" hidden="false" customHeight="false" outlineLevel="0" collapsed="false">
      <c r="A128" s="15" t="str">
        <f aca="false">IF('Project Register'!$A128="","",ROW('Project Register'!A128))</f>
        <v/>
      </c>
      <c r="B128" s="15" t="str">
        <f aca="false">IF('Project Register'!$A128="","",'Project Register'!B128)</f>
        <v/>
      </c>
      <c r="C128" s="15" t="str">
        <f aca="false">IF('Project Register'!$A128="","",IF(OR('Project Register'!E128="",'Project Register'!F128=""),"",IF('Project Register'!F128&lt;'Project Register'!E128,0,NETWORKDAYS.INTL('Project Register'!E128,'Project Register'!F128,"0000110",Holidays_Leave!$A$3:$A$62))))</f>
        <v/>
      </c>
      <c r="D128" s="15" t="str">
        <f aca="false">IF('Project Register'!$A128="","",('Project Register'!H128&lt;&gt;"")+('Project Register'!J128&lt;&gt;"")+('Project Register'!L128&lt;&gt;""))</f>
        <v/>
      </c>
      <c r="E128" s="16" t="str">
        <f aca="false">IF(OR(C128="",D128="",'Project Register'!G128=""),"",IF(OR(C128=0,D128=0),"",'Project Register'!G128/(C128*D128)))</f>
        <v/>
      </c>
      <c r="F128" s="15" t="str">
        <f aca="false">IF('Project Register'!$A128="","",TRIM(IF(OR('Project Register'!E128="",'Project Register'!F128=""),"Missing date. ","")&amp;IF(AND('Project Register'!E128&lt;&gt;"",'Project Register'!F128&lt;&gt;"",'Project Register'!F128&lt;'Project Register'!E128),"End before start. ","")&amp;IF(NOT(ISNUMBER('Project Register'!G128)),"Effort missing. ","")&amp;IF(D128=0,"No resource. ","")&amp;IF(AND('Project Register'!H128&lt;&gt;"",'Project Register'!I128=""),"Role 1 missing. ","")&amp;IF(AND('Project Register'!J128&lt;&gt;"",'Project Register'!K128=""),"Role 2 missing. ","")&amp;IF(AND('Project Register'!L128&lt;&gt;"",'Project Register'!M128=""),"Role 3 missing. ","")&amp;IF(OR(AND('Project Register'!H128&lt;&gt;"",'Project Register'!H128='Project Register'!J128),AND('Project Register'!H128&lt;&gt;"",'Project Register'!H128='Project Register'!L128),AND('Project Register'!J128&lt;&gt;"",'Project Register'!J128='Project Register'!L128)),"Same person listed twice. ","")&amp;IF(AND('Project Register'!H128&lt;&gt;"",COUNTIF(Resources!$A$2:$A$51,'Project Register'!H128)=0),"Resource 1 not in Resources sheet. ","")&amp;IF(AND('Project Register'!J128&lt;&gt;"",COUNTIF(Resources!$A$2:$A$51,'Project Register'!J128)=0),"Resource 2 not in Resources sheet. ","")&amp;IF(AND('Project Register'!L128&lt;&gt;"",COUNTIF(Resources!$A$2:$A$51,'Project Register'!L128)=0),"Resource 3 not in Resources sheet. ","")&amp;IF('Project Register'!O128="","Test Status missing. ","")&amp;IF(AND(ISNUMBER(E128),E128&gt;1),"This task alone needs over 100% per person. ","")&amp;IF(AND('Project Register'!Q128="Deployed in Live",'Project Register'!R128=""),"Release Date blank (import date will be used). ","")))</f>
        <v/>
      </c>
      <c r="G128" s="17" t="str">
        <f aca="false">IF('Project Register'!$A128="","",IF(F128="","OK","Check"))</f>
        <v/>
      </c>
    </row>
    <row r="129" customFormat="false" ht="15" hidden="false" customHeight="false" outlineLevel="0" collapsed="false">
      <c r="A129" s="15" t="str">
        <f aca="false">IF('Project Register'!$A129="","",ROW('Project Register'!A129))</f>
        <v/>
      </c>
      <c r="B129" s="15" t="str">
        <f aca="false">IF('Project Register'!$A129="","",'Project Register'!B129)</f>
        <v/>
      </c>
      <c r="C129" s="15" t="str">
        <f aca="false">IF('Project Register'!$A129="","",IF(OR('Project Register'!E129="",'Project Register'!F129=""),"",IF('Project Register'!F129&lt;'Project Register'!E129,0,NETWORKDAYS.INTL('Project Register'!E129,'Project Register'!F129,"0000110",Holidays_Leave!$A$3:$A$62))))</f>
        <v/>
      </c>
      <c r="D129" s="15" t="str">
        <f aca="false">IF('Project Register'!$A129="","",('Project Register'!H129&lt;&gt;"")+('Project Register'!J129&lt;&gt;"")+('Project Register'!L129&lt;&gt;""))</f>
        <v/>
      </c>
      <c r="E129" s="16" t="str">
        <f aca="false">IF(OR(C129="",D129="",'Project Register'!G129=""),"",IF(OR(C129=0,D129=0),"",'Project Register'!G129/(C129*D129)))</f>
        <v/>
      </c>
      <c r="F129" s="15" t="str">
        <f aca="false">IF('Project Register'!$A129="","",TRIM(IF(OR('Project Register'!E129="",'Project Register'!F129=""),"Missing date. ","")&amp;IF(AND('Project Register'!E129&lt;&gt;"",'Project Register'!F129&lt;&gt;"",'Project Register'!F129&lt;'Project Register'!E129),"End before start. ","")&amp;IF(NOT(ISNUMBER('Project Register'!G129)),"Effort missing. ","")&amp;IF(D129=0,"No resource. ","")&amp;IF(AND('Project Register'!H129&lt;&gt;"",'Project Register'!I129=""),"Role 1 missing. ","")&amp;IF(AND('Project Register'!J129&lt;&gt;"",'Project Register'!K129=""),"Role 2 missing. ","")&amp;IF(AND('Project Register'!L129&lt;&gt;"",'Project Register'!M129=""),"Role 3 missing. ","")&amp;IF(OR(AND('Project Register'!H129&lt;&gt;"",'Project Register'!H129='Project Register'!J129),AND('Project Register'!H129&lt;&gt;"",'Project Register'!H129='Project Register'!L129),AND('Project Register'!J129&lt;&gt;"",'Project Register'!J129='Project Register'!L129)),"Same person listed twice. ","")&amp;IF(AND('Project Register'!H129&lt;&gt;"",COUNTIF(Resources!$A$2:$A$51,'Project Register'!H129)=0),"Resource 1 not in Resources sheet. ","")&amp;IF(AND('Project Register'!J129&lt;&gt;"",COUNTIF(Resources!$A$2:$A$51,'Project Register'!J129)=0),"Resource 2 not in Resources sheet. ","")&amp;IF(AND('Project Register'!L129&lt;&gt;"",COUNTIF(Resources!$A$2:$A$51,'Project Register'!L129)=0),"Resource 3 not in Resources sheet. ","")&amp;IF('Project Register'!O129="","Test Status missing. ","")&amp;IF(AND(ISNUMBER(E129),E129&gt;1),"This task alone needs over 100% per person. ","")&amp;IF(AND('Project Register'!Q129="Deployed in Live",'Project Register'!R129=""),"Release Date blank (import date will be used). ","")))</f>
        <v/>
      </c>
      <c r="G129" s="17" t="str">
        <f aca="false">IF('Project Register'!$A129="","",IF(F129="","OK","Check"))</f>
        <v/>
      </c>
    </row>
    <row r="130" customFormat="false" ht="15" hidden="false" customHeight="false" outlineLevel="0" collapsed="false">
      <c r="A130" s="15" t="str">
        <f aca="false">IF('Project Register'!$A130="","",ROW('Project Register'!A130))</f>
        <v/>
      </c>
      <c r="B130" s="15" t="str">
        <f aca="false">IF('Project Register'!$A130="","",'Project Register'!B130)</f>
        <v/>
      </c>
      <c r="C130" s="15" t="str">
        <f aca="false">IF('Project Register'!$A130="","",IF(OR('Project Register'!E130="",'Project Register'!F130=""),"",IF('Project Register'!F130&lt;'Project Register'!E130,0,NETWORKDAYS.INTL('Project Register'!E130,'Project Register'!F130,"0000110",Holidays_Leave!$A$3:$A$62))))</f>
        <v/>
      </c>
      <c r="D130" s="15" t="str">
        <f aca="false">IF('Project Register'!$A130="","",('Project Register'!H130&lt;&gt;"")+('Project Register'!J130&lt;&gt;"")+('Project Register'!L130&lt;&gt;""))</f>
        <v/>
      </c>
      <c r="E130" s="16" t="str">
        <f aca="false">IF(OR(C130="",D130="",'Project Register'!G130=""),"",IF(OR(C130=0,D130=0),"",'Project Register'!G130/(C130*D130)))</f>
        <v/>
      </c>
      <c r="F130" s="15" t="str">
        <f aca="false">IF('Project Register'!$A130="","",TRIM(IF(OR('Project Register'!E130="",'Project Register'!F130=""),"Missing date. ","")&amp;IF(AND('Project Register'!E130&lt;&gt;"",'Project Register'!F130&lt;&gt;"",'Project Register'!F130&lt;'Project Register'!E130),"End before start. ","")&amp;IF(NOT(ISNUMBER('Project Register'!G130)),"Effort missing. ","")&amp;IF(D130=0,"No resource. ","")&amp;IF(AND('Project Register'!H130&lt;&gt;"",'Project Register'!I130=""),"Role 1 missing. ","")&amp;IF(AND('Project Register'!J130&lt;&gt;"",'Project Register'!K130=""),"Role 2 missing. ","")&amp;IF(AND('Project Register'!L130&lt;&gt;"",'Project Register'!M130=""),"Role 3 missing. ","")&amp;IF(OR(AND('Project Register'!H130&lt;&gt;"",'Project Register'!H130='Project Register'!J130),AND('Project Register'!H130&lt;&gt;"",'Project Register'!H130='Project Register'!L130),AND('Project Register'!J130&lt;&gt;"",'Project Register'!J130='Project Register'!L130)),"Same person listed twice. ","")&amp;IF(AND('Project Register'!H130&lt;&gt;"",COUNTIF(Resources!$A$2:$A$51,'Project Register'!H130)=0),"Resource 1 not in Resources sheet. ","")&amp;IF(AND('Project Register'!J130&lt;&gt;"",COUNTIF(Resources!$A$2:$A$51,'Project Register'!J130)=0),"Resource 2 not in Resources sheet. ","")&amp;IF(AND('Project Register'!L130&lt;&gt;"",COUNTIF(Resources!$A$2:$A$51,'Project Register'!L130)=0),"Resource 3 not in Resources sheet. ","")&amp;IF('Project Register'!O130="","Test Status missing. ","")&amp;IF(AND(ISNUMBER(E130),E130&gt;1),"This task alone needs over 100% per person. ","")&amp;IF(AND('Project Register'!Q130="Deployed in Live",'Project Register'!R130=""),"Release Date blank (import date will be used). ","")))</f>
        <v/>
      </c>
      <c r="G130" s="17" t="str">
        <f aca="false">IF('Project Register'!$A130="","",IF(F130="","OK","Check"))</f>
        <v/>
      </c>
    </row>
    <row r="131" customFormat="false" ht="15" hidden="false" customHeight="false" outlineLevel="0" collapsed="false">
      <c r="A131" s="15" t="str">
        <f aca="false">IF('Project Register'!$A131="","",ROW('Project Register'!A131))</f>
        <v/>
      </c>
      <c r="B131" s="15" t="str">
        <f aca="false">IF('Project Register'!$A131="","",'Project Register'!B131)</f>
        <v/>
      </c>
      <c r="C131" s="15" t="str">
        <f aca="false">IF('Project Register'!$A131="","",IF(OR('Project Register'!E131="",'Project Register'!F131=""),"",IF('Project Register'!F131&lt;'Project Register'!E131,0,NETWORKDAYS.INTL('Project Register'!E131,'Project Register'!F131,"0000110",Holidays_Leave!$A$3:$A$62))))</f>
        <v/>
      </c>
      <c r="D131" s="15" t="str">
        <f aca="false">IF('Project Register'!$A131="","",('Project Register'!H131&lt;&gt;"")+('Project Register'!J131&lt;&gt;"")+('Project Register'!L131&lt;&gt;""))</f>
        <v/>
      </c>
      <c r="E131" s="16" t="str">
        <f aca="false">IF(OR(C131="",D131="",'Project Register'!G131=""),"",IF(OR(C131=0,D131=0),"",'Project Register'!G131/(C131*D131)))</f>
        <v/>
      </c>
      <c r="F131" s="15" t="str">
        <f aca="false">IF('Project Register'!$A131="","",TRIM(IF(OR('Project Register'!E131="",'Project Register'!F131=""),"Missing date. ","")&amp;IF(AND('Project Register'!E131&lt;&gt;"",'Project Register'!F131&lt;&gt;"",'Project Register'!F131&lt;'Project Register'!E131),"End before start. ","")&amp;IF(NOT(ISNUMBER('Project Register'!G131)),"Effort missing. ","")&amp;IF(D131=0,"No resource. ","")&amp;IF(AND('Project Register'!H131&lt;&gt;"",'Project Register'!I131=""),"Role 1 missing. ","")&amp;IF(AND('Project Register'!J131&lt;&gt;"",'Project Register'!K131=""),"Role 2 missing. ","")&amp;IF(AND('Project Register'!L131&lt;&gt;"",'Project Register'!M131=""),"Role 3 missing. ","")&amp;IF(OR(AND('Project Register'!H131&lt;&gt;"",'Project Register'!H131='Project Register'!J131),AND('Project Register'!H131&lt;&gt;"",'Project Register'!H131='Project Register'!L131),AND('Project Register'!J131&lt;&gt;"",'Project Register'!J131='Project Register'!L131)),"Same person listed twice. ","")&amp;IF(AND('Project Register'!H131&lt;&gt;"",COUNTIF(Resources!$A$2:$A$51,'Project Register'!H131)=0),"Resource 1 not in Resources sheet. ","")&amp;IF(AND('Project Register'!J131&lt;&gt;"",COUNTIF(Resources!$A$2:$A$51,'Project Register'!J131)=0),"Resource 2 not in Resources sheet. ","")&amp;IF(AND('Project Register'!L131&lt;&gt;"",COUNTIF(Resources!$A$2:$A$51,'Project Register'!L131)=0),"Resource 3 not in Resources sheet. ","")&amp;IF('Project Register'!O131="","Test Status missing. ","")&amp;IF(AND(ISNUMBER(E131),E131&gt;1),"This task alone needs over 100% per person. ","")&amp;IF(AND('Project Register'!Q131="Deployed in Live",'Project Register'!R131=""),"Release Date blank (import date will be used). ","")))</f>
        <v/>
      </c>
      <c r="G131" s="17" t="str">
        <f aca="false">IF('Project Register'!$A131="","",IF(F131="","OK","Check"))</f>
        <v/>
      </c>
    </row>
    <row r="132" customFormat="false" ht="15" hidden="false" customHeight="false" outlineLevel="0" collapsed="false">
      <c r="A132" s="15" t="str">
        <f aca="false">IF('Project Register'!$A132="","",ROW('Project Register'!A132))</f>
        <v/>
      </c>
      <c r="B132" s="15" t="str">
        <f aca="false">IF('Project Register'!$A132="","",'Project Register'!B132)</f>
        <v/>
      </c>
      <c r="C132" s="15" t="str">
        <f aca="false">IF('Project Register'!$A132="","",IF(OR('Project Register'!E132="",'Project Register'!F132=""),"",IF('Project Register'!F132&lt;'Project Register'!E132,0,NETWORKDAYS.INTL('Project Register'!E132,'Project Register'!F132,"0000110",Holidays_Leave!$A$3:$A$62))))</f>
        <v/>
      </c>
      <c r="D132" s="15" t="str">
        <f aca="false">IF('Project Register'!$A132="","",('Project Register'!H132&lt;&gt;"")+('Project Register'!J132&lt;&gt;"")+('Project Register'!L132&lt;&gt;""))</f>
        <v/>
      </c>
      <c r="E132" s="16" t="str">
        <f aca="false">IF(OR(C132="",D132="",'Project Register'!G132=""),"",IF(OR(C132=0,D132=0),"",'Project Register'!G132/(C132*D132)))</f>
        <v/>
      </c>
      <c r="F132" s="15" t="str">
        <f aca="false">IF('Project Register'!$A132="","",TRIM(IF(OR('Project Register'!E132="",'Project Register'!F132=""),"Missing date. ","")&amp;IF(AND('Project Register'!E132&lt;&gt;"",'Project Register'!F132&lt;&gt;"",'Project Register'!F132&lt;'Project Register'!E132),"End before start. ","")&amp;IF(NOT(ISNUMBER('Project Register'!G132)),"Effort missing. ","")&amp;IF(D132=0,"No resource. ","")&amp;IF(AND('Project Register'!H132&lt;&gt;"",'Project Register'!I132=""),"Role 1 missing. ","")&amp;IF(AND('Project Register'!J132&lt;&gt;"",'Project Register'!K132=""),"Role 2 missing. ","")&amp;IF(AND('Project Register'!L132&lt;&gt;"",'Project Register'!M132=""),"Role 3 missing. ","")&amp;IF(OR(AND('Project Register'!H132&lt;&gt;"",'Project Register'!H132='Project Register'!J132),AND('Project Register'!H132&lt;&gt;"",'Project Register'!H132='Project Register'!L132),AND('Project Register'!J132&lt;&gt;"",'Project Register'!J132='Project Register'!L132)),"Same person listed twice. ","")&amp;IF(AND('Project Register'!H132&lt;&gt;"",COUNTIF(Resources!$A$2:$A$51,'Project Register'!H132)=0),"Resource 1 not in Resources sheet. ","")&amp;IF(AND('Project Register'!J132&lt;&gt;"",COUNTIF(Resources!$A$2:$A$51,'Project Register'!J132)=0),"Resource 2 not in Resources sheet. ","")&amp;IF(AND('Project Register'!L132&lt;&gt;"",COUNTIF(Resources!$A$2:$A$51,'Project Register'!L132)=0),"Resource 3 not in Resources sheet. ","")&amp;IF('Project Register'!O132="","Test Status missing. ","")&amp;IF(AND(ISNUMBER(E132),E132&gt;1),"This task alone needs over 100% per person. ","")&amp;IF(AND('Project Register'!Q132="Deployed in Live",'Project Register'!R132=""),"Release Date blank (import date will be used). ","")))</f>
        <v/>
      </c>
      <c r="G132" s="17" t="str">
        <f aca="false">IF('Project Register'!$A132="","",IF(F132="","OK","Check"))</f>
        <v/>
      </c>
    </row>
    <row r="133" customFormat="false" ht="15" hidden="false" customHeight="false" outlineLevel="0" collapsed="false">
      <c r="A133" s="15" t="str">
        <f aca="false">IF('Project Register'!$A133="","",ROW('Project Register'!A133))</f>
        <v/>
      </c>
      <c r="B133" s="15" t="str">
        <f aca="false">IF('Project Register'!$A133="","",'Project Register'!B133)</f>
        <v/>
      </c>
      <c r="C133" s="15" t="str">
        <f aca="false">IF('Project Register'!$A133="","",IF(OR('Project Register'!E133="",'Project Register'!F133=""),"",IF('Project Register'!F133&lt;'Project Register'!E133,0,NETWORKDAYS.INTL('Project Register'!E133,'Project Register'!F133,"0000110",Holidays_Leave!$A$3:$A$62))))</f>
        <v/>
      </c>
      <c r="D133" s="15" t="str">
        <f aca="false">IF('Project Register'!$A133="","",('Project Register'!H133&lt;&gt;"")+('Project Register'!J133&lt;&gt;"")+('Project Register'!L133&lt;&gt;""))</f>
        <v/>
      </c>
      <c r="E133" s="16" t="str">
        <f aca="false">IF(OR(C133="",D133="",'Project Register'!G133=""),"",IF(OR(C133=0,D133=0),"",'Project Register'!G133/(C133*D133)))</f>
        <v/>
      </c>
      <c r="F133" s="15" t="str">
        <f aca="false">IF('Project Register'!$A133="","",TRIM(IF(OR('Project Register'!E133="",'Project Register'!F133=""),"Missing date. ","")&amp;IF(AND('Project Register'!E133&lt;&gt;"",'Project Register'!F133&lt;&gt;"",'Project Register'!F133&lt;'Project Register'!E133),"End before start. ","")&amp;IF(NOT(ISNUMBER('Project Register'!G133)),"Effort missing. ","")&amp;IF(D133=0,"No resource. ","")&amp;IF(AND('Project Register'!H133&lt;&gt;"",'Project Register'!I133=""),"Role 1 missing. ","")&amp;IF(AND('Project Register'!J133&lt;&gt;"",'Project Register'!K133=""),"Role 2 missing. ","")&amp;IF(AND('Project Register'!L133&lt;&gt;"",'Project Register'!M133=""),"Role 3 missing. ","")&amp;IF(OR(AND('Project Register'!H133&lt;&gt;"",'Project Register'!H133='Project Register'!J133),AND('Project Register'!H133&lt;&gt;"",'Project Register'!H133='Project Register'!L133),AND('Project Register'!J133&lt;&gt;"",'Project Register'!J133='Project Register'!L133)),"Same person listed twice. ","")&amp;IF(AND('Project Register'!H133&lt;&gt;"",COUNTIF(Resources!$A$2:$A$51,'Project Register'!H133)=0),"Resource 1 not in Resources sheet. ","")&amp;IF(AND('Project Register'!J133&lt;&gt;"",COUNTIF(Resources!$A$2:$A$51,'Project Register'!J133)=0),"Resource 2 not in Resources sheet. ","")&amp;IF(AND('Project Register'!L133&lt;&gt;"",COUNTIF(Resources!$A$2:$A$51,'Project Register'!L133)=0),"Resource 3 not in Resources sheet. ","")&amp;IF('Project Register'!O133="","Test Status missing. ","")&amp;IF(AND(ISNUMBER(E133),E133&gt;1),"This task alone needs over 100% per person. ","")&amp;IF(AND('Project Register'!Q133="Deployed in Live",'Project Register'!R133=""),"Release Date blank (import date will be used). ","")))</f>
        <v/>
      </c>
      <c r="G133" s="17" t="str">
        <f aca="false">IF('Project Register'!$A133="","",IF(F133="","OK","Check"))</f>
        <v/>
      </c>
    </row>
    <row r="134" customFormat="false" ht="15" hidden="false" customHeight="false" outlineLevel="0" collapsed="false">
      <c r="A134" s="15" t="str">
        <f aca="false">IF('Project Register'!$A134="","",ROW('Project Register'!A134))</f>
        <v/>
      </c>
      <c r="B134" s="15" t="str">
        <f aca="false">IF('Project Register'!$A134="","",'Project Register'!B134)</f>
        <v/>
      </c>
      <c r="C134" s="15" t="str">
        <f aca="false">IF('Project Register'!$A134="","",IF(OR('Project Register'!E134="",'Project Register'!F134=""),"",IF('Project Register'!F134&lt;'Project Register'!E134,0,NETWORKDAYS.INTL('Project Register'!E134,'Project Register'!F134,"0000110",Holidays_Leave!$A$3:$A$62))))</f>
        <v/>
      </c>
      <c r="D134" s="15" t="str">
        <f aca="false">IF('Project Register'!$A134="","",('Project Register'!H134&lt;&gt;"")+('Project Register'!J134&lt;&gt;"")+('Project Register'!L134&lt;&gt;""))</f>
        <v/>
      </c>
      <c r="E134" s="16" t="str">
        <f aca="false">IF(OR(C134="",D134="",'Project Register'!G134=""),"",IF(OR(C134=0,D134=0),"",'Project Register'!G134/(C134*D134)))</f>
        <v/>
      </c>
      <c r="F134" s="15" t="str">
        <f aca="false">IF('Project Register'!$A134="","",TRIM(IF(OR('Project Register'!E134="",'Project Register'!F134=""),"Missing date. ","")&amp;IF(AND('Project Register'!E134&lt;&gt;"",'Project Register'!F134&lt;&gt;"",'Project Register'!F134&lt;'Project Register'!E134),"End before start. ","")&amp;IF(NOT(ISNUMBER('Project Register'!G134)),"Effort missing. ","")&amp;IF(D134=0,"No resource. ","")&amp;IF(AND('Project Register'!H134&lt;&gt;"",'Project Register'!I134=""),"Role 1 missing. ","")&amp;IF(AND('Project Register'!J134&lt;&gt;"",'Project Register'!K134=""),"Role 2 missing. ","")&amp;IF(AND('Project Register'!L134&lt;&gt;"",'Project Register'!M134=""),"Role 3 missing. ","")&amp;IF(OR(AND('Project Register'!H134&lt;&gt;"",'Project Register'!H134='Project Register'!J134),AND('Project Register'!H134&lt;&gt;"",'Project Register'!H134='Project Register'!L134),AND('Project Register'!J134&lt;&gt;"",'Project Register'!J134='Project Register'!L134)),"Same person listed twice. ","")&amp;IF(AND('Project Register'!H134&lt;&gt;"",COUNTIF(Resources!$A$2:$A$51,'Project Register'!H134)=0),"Resource 1 not in Resources sheet. ","")&amp;IF(AND('Project Register'!J134&lt;&gt;"",COUNTIF(Resources!$A$2:$A$51,'Project Register'!J134)=0),"Resource 2 not in Resources sheet. ","")&amp;IF(AND('Project Register'!L134&lt;&gt;"",COUNTIF(Resources!$A$2:$A$51,'Project Register'!L134)=0),"Resource 3 not in Resources sheet. ","")&amp;IF('Project Register'!O134="","Test Status missing. ","")&amp;IF(AND(ISNUMBER(E134),E134&gt;1),"This task alone needs over 100% per person. ","")&amp;IF(AND('Project Register'!Q134="Deployed in Live",'Project Register'!R134=""),"Release Date blank (import date will be used). ","")))</f>
        <v/>
      </c>
      <c r="G134" s="17" t="str">
        <f aca="false">IF('Project Register'!$A134="","",IF(F134="","OK","Check"))</f>
        <v/>
      </c>
    </row>
    <row r="135" customFormat="false" ht="15" hidden="false" customHeight="false" outlineLevel="0" collapsed="false">
      <c r="A135" s="15" t="str">
        <f aca="false">IF('Project Register'!$A135="","",ROW('Project Register'!A135))</f>
        <v/>
      </c>
      <c r="B135" s="15" t="str">
        <f aca="false">IF('Project Register'!$A135="","",'Project Register'!B135)</f>
        <v/>
      </c>
      <c r="C135" s="15" t="str">
        <f aca="false">IF('Project Register'!$A135="","",IF(OR('Project Register'!E135="",'Project Register'!F135=""),"",IF('Project Register'!F135&lt;'Project Register'!E135,0,NETWORKDAYS.INTL('Project Register'!E135,'Project Register'!F135,"0000110",Holidays_Leave!$A$3:$A$62))))</f>
        <v/>
      </c>
      <c r="D135" s="15" t="str">
        <f aca="false">IF('Project Register'!$A135="","",('Project Register'!H135&lt;&gt;"")+('Project Register'!J135&lt;&gt;"")+('Project Register'!L135&lt;&gt;""))</f>
        <v/>
      </c>
      <c r="E135" s="16" t="str">
        <f aca="false">IF(OR(C135="",D135="",'Project Register'!G135=""),"",IF(OR(C135=0,D135=0),"",'Project Register'!G135/(C135*D135)))</f>
        <v/>
      </c>
      <c r="F135" s="15" t="str">
        <f aca="false">IF('Project Register'!$A135="","",TRIM(IF(OR('Project Register'!E135="",'Project Register'!F135=""),"Missing date. ","")&amp;IF(AND('Project Register'!E135&lt;&gt;"",'Project Register'!F135&lt;&gt;"",'Project Register'!F135&lt;'Project Register'!E135),"End before start. ","")&amp;IF(NOT(ISNUMBER('Project Register'!G135)),"Effort missing. ","")&amp;IF(D135=0,"No resource. ","")&amp;IF(AND('Project Register'!H135&lt;&gt;"",'Project Register'!I135=""),"Role 1 missing. ","")&amp;IF(AND('Project Register'!J135&lt;&gt;"",'Project Register'!K135=""),"Role 2 missing. ","")&amp;IF(AND('Project Register'!L135&lt;&gt;"",'Project Register'!M135=""),"Role 3 missing. ","")&amp;IF(OR(AND('Project Register'!H135&lt;&gt;"",'Project Register'!H135='Project Register'!J135),AND('Project Register'!H135&lt;&gt;"",'Project Register'!H135='Project Register'!L135),AND('Project Register'!J135&lt;&gt;"",'Project Register'!J135='Project Register'!L135)),"Same person listed twice. ","")&amp;IF(AND('Project Register'!H135&lt;&gt;"",COUNTIF(Resources!$A$2:$A$51,'Project Register'!H135)=0),"Resource 1 not in Resources sheet. ","")&amp;IF(AND('Project Register'!J135&lt;&gt;"",COUNTIF(Resources!$A$2:$A$51,'Project Register'!J135)=0),"Resource 2 not in Resources sheet. ","")&amp;IF(AND('Project Register'!L135&lt;&gt;"",COUNTIF(Resources!$A$2:$A$51,'Project Register'!L135)=0),"Resource 3 not in Resources sheet. ","")&amp;IF('Project Register'!O135="","Test Status missing. ","")&amp;IF(AND(ISNUMBER(E135),E135&gt;1),"This task alone needs over 100% per person. ","")&amp;IF(AND('Project Register'!Q135="Deployed in Live",'Project Register'!R135=""),"Release Date blank (import date will be used). ","")))</f>
        <v/>
      </c>
      <c r="G135" s="17" t="str">
        <f aca="false">IF('Project Register'!$A135="","",IF(F135="","OK","Check"))</f>
        <v/>
      </c>
    </row>
    <row r="136" customFormat="false" ht="15" hidden="false" customHeight="false" outlineLevel="0" collapsed="false">
      <c r="A136" s="15" t="str">
        <f aca="false">IF('Project Register'!$A136="","",ROW('Project Register'!A136))</f>
        <v/>
      </c>
      <c r="B136" s="15" t="str">
        <f aca="false">IF('Project Register'!$A136="","",'Project Register'!B136)</f>
        <v/>
      </c>
      <c r="C136" s="15" t="str">
        <f aca="false">IF('Project Register'!$A136="","",IF(OR('Project Register'!E136="",'Project Register'!F136=""),"",IF('Project Register'!F136&lt;'Project Register'!E136,0,NETWORKDAYS.INTL('Project Register'!E136,'Project Register'!F136,"0000110",Holidays_Leave!$A$3:$A$62))))</f>
        <v/>
      </c>
      <c r="D136" s="15" t="str">
        <f aca="false">IF('Project Register'!$A136="","",('Project Register'!H136&lt;&gt;"")+('Project Register'!J136&lt;&gt;"")+('Project Register'!L136&lt;&gt;""))</f>
        <v/>
      </c>
      <c r="E136" s="16" t="str">
        <f aca="false">IF(OR(C136="",D136="",'Project Register'!G136=""),"",IF(OR(C136=0,D136=0),"",'Project Register'!G136/(C136*D136)))</f>
        <v/>
      </c>
      <c r="F136" s="15" t="str">
        <f aca="false">IF('Project Register'!$A136="","",TRIM(IF(OR('Project Register'!E136="",'Project Register'!F136=""),"Missing date. ","")&amp;IF(AND('Project Register'!E136&lt;&gt;"",'Project Register'!F136&lt;&gt;"",'Project Register'!F136&lt;'Project Register'!E136),"End before start. ","")&amp;IF(NOT(ISNUMBER('Project Register'!G136)),"Effort missing. ","")&amp;IF(D136=0,"No resource. ","")&amp;IF(AND('Project Register'!H136&lt;&gt;"",'Project Register'!I136=""),"Role 1 missing. ","")&amp;IF(AND('Project Register'!J136&lt;&gt;"",'Project Register'!K136=""),"Role 2 missing. ","")&amp;IF(AND('Project Register'!L136&lt;&gt;"",'Project Register'!M136=""),"Role 3 missing. ","")&amp;IF(OR(AND('Project Register'!H136&lt;&gt;"",'Project Register'!H136='Project Register'!J136),AND('Project Register'!H136&lt;&gt;"",'Project Register'!H136='Project Register'!L136),AND('Project Register'!J136&lt;&gt;"",'Project Register'!J136='Project Register'!L136)),"Same person listed twice. ","")&amp;IF(AND('Project Register'!H136&lt;&gt;"",COUNTIF(Resources!$A$2:$A$51,'Project Register'!H136)=0),"Resource 1 not in Resources sheet. ","")&amp;IF(AND('Project Register'!J136&lt;&gt;"",COUNTIF(Resources!$A$2:$A$51,'Project Register'!J136)=0),"Resource 2 not in Resources sheet. ","")&amp;IF(AND('Project Register'!L136&lt;&gt;"",COUNTIF(Resources!$A$2:$A$51,'Project Register'!L136)=0),"Resource 3 not in Resources sheet. ","")&amp;IF('Project Register'!O136="","Test Status missing. ","")&amp;IF(AND(ISNUMBER(E136),E136&gt;1),"This task alone needs over 100% per person. ","")&amp;IF(AND('Project Register'!Q136="Deployed in Live",'Project Register'!R136=""),"Release Date blank (import date will be used). ","")))</f>
        <v/>
      </c>
      <c r="G136" s="17" t="str">
        <f aca="false">IF('Project Register'!$A136="","",IF(F136="","OK","Check"))</f>
        <v/>
      </c>
    </row>
    <row r="137" customFormat="false" ht="15" hidden="false" customHeight="false" outlineLevel="0" collapsed="false">
      <c r="A137" s="15" t="str">
        <f aca="false">IF('Project Register'!$A137="","",ROW('Project Register'!A137))</f>
        <v/>
      </c>
      <c r="B137" s="15" t="str">
        <f aca="false">IF('Project Register'!$A137="","",'Project Register'!B137)</f>
        <v/>
      </c>
      <c r="C137" s="15" t="str">
        <f aca="false">IF('Project Register'!$A137="","",IF(OR('Project Register'!E137="",'Project Register'!F137=""),"",IF('Project Register'!F137&lt;'Project Register'!E137,0,NETWORKDAYS.INTL('Project Register'!E137,'Project Register'!F137,"0000110",Holidays_Leave!$A$3:$A$62))))</f>
        <v/>
      </c>
      <c r="D137" s="15" t="str">
        <f aca="false">IF('Project Register'!$A137="","",('Project Register'!H137&lt;&gt;"")+('Project Register'!J137&lt;&gt;"")+('Project Register'!L137&lt;&gt;""))</f>
        <v/>
      </c>
      <c r="E137" s="16" t="str">
        <f aca="false">IF(OR(C137="",D137="",'Project Register'!G137=""),"",IF(OR(C137=0,D137=0),"",'Project Register'!G137/(C137*D137)))</f>
        <v/>
      </c>
      <c r="F137" s="15" t="str">
        <f aca="false">IF('Project Register'!$A137="","",TRIM(IF(OR('Project Register'!E137="",'Project Register'!F137=""),"Missing date. ","")&amp;IF(AND('Project Register'!E137&lt;&gt;"",'Project Register'!F137&lt;&gt;"",'Project Register'!F137&lt;'Project Register'!E137),"End before start. ","")&amp;IF(NOT(ISNUMBER('Project Register'!G137)),"Effort missing. ","")&amp;IF(D137=0,"No resource. ","")&amp;IF(AND('Project Register'!H137&lt;&gt;"",'Project Register'!I137=""),"Role 1 missing. ","")&amp;IF(AND('Project Register'!J137&lt;&gt;"",'Project Register'!K137=""),"Role 2 missing. ","")&amp;IF(AND('Project Register'!L137&lt;&gt;"",'Project Register'!M137=""),"Role 3 missing. ","")&amp;IF(OR(AND('Project Register'!H137&lt;&gt;"",'Project Register'!H137='Project Register'!J137),AND('Project Register'!H137&lt;&gt;"",'Project Register'!H137='Project Register'!L137),AND('Project Register'!J137&lt;&gt;"",'Project Register'!J137='Project Register'!L137)),"Same person listed twice. ","")&amp;IF(AND('Project Register'!H137&lt;&gt;"",COUNTIF(Resources!$A$2:$A$51,'Project Register'!H137)=0),"Resource 1 not in Resources sheet. ","")&amp;IF(AND('Project Register'!J137&lt;&gt;"",COUNTIF(Resources!$A$2:$A$51,'Project Register'!J137)=0),"Resource 2 not in Resources sheet. ","")&amp;IF(AND('Project Register'!L137&lt;&gt;"",COUNTIF(Resources!$A$2:$A$51,'Project Register'!L137)=0),"Resource 3 not in Resources sheet. ","")&amp;IF('Project Register'!O137="","Test Status missing. ","")&amp;IF(AND(ISNUMBER(E137),E137&gt;1),"This task alone needs over 100% per person. ","")&amp;IF(AND('Project Register'!Q137="Deployed in Live",'Project Register'!R137=""),"Release Date blank (import date will be used). ","")))</f>
        <v/>
      </c>
      <c r="G137" s="17" t="str">
        <f aca="false">IF('Project Register'!$A137="","",IF(F137="","OK","Check"))</f>
        <v/>
      </c>
    </row>
    <row r="138" customFormat="false" ht="15" hidden="false" customHeight="false" outlineLevel="0" collapsed="false">
      <c r="A138" s="15" t="str">
        <f aca="false">IF('Project Register'!$A138="","",ROW('Project Register'!A138))</f>
        <v/>
      </c>
      <c r="B138" s="15" t="str">
        <f aca="false">IF('Project Register'!$A138="","",'Project Register'!B138)</f>
        <v/>
      </c>
      <c r="C138" s="15" t="str">
        <f aca="false">IF('Project Register'!$A138="","",IF(OR('Project Register'!E138="",'Project Register'!F138=""),"",IF('Project Register'!F138&lt;'Project Register'!E138,0,NETWORKDAYS.INTL('Project Register'!E138,'Project Register'!F138,"0000110",Holidays_Leave!$A$3:$A$62))))</f>
        <v/>
      </c>
      <c r="D138" s="15" t="str">
        <f aca="false">IF('Project Register'!$A138="","",('Project Register'!H138&lt;&gt;"")+('Project Register'!J138&lt;&gt;"")+('Project Register'!L138&lt;&gt;""))</f>
        <v/>
      </c>
      <c r="E138" s="16" t="str">
        <f aca="false">IF(OR(C138="",D138="",'Project Register'!G138=""),"",IF(OR(C138=0,D138=0),"",'Project Register'!G138/(C138*D138)))</f>
        <v/>
      </c>
      <c r="F138" s="15" t="str">
        <f aca="false">IF('Project Register'!$A138="","",TRIM(IF(OR('Project Register'!E138="",'Project Register'!F138=""),"Missing date. ","")&amp;IF(AND('Project Register'!E138&lt;&gt;"",'Project Register'!F138&lt;&gt;"",'Project Register'!F138&lt;'Project Register'!E138),"End before start. ","")&amp;IF(NOT(ISNUMBER('Project Register'!G138)),"Effort missing. ","")&amp;IF(D138=0,"No resource. ","")&amp;IF(AND('Project Register'!H138&lt;&gt;"",'Project Register'!I138=""),"Role 1 missing. ","")&amp;IF(AND('Project Register'!J138&lt;&gt;"",'Project Register'!K138=""),"Role 2 missing. ","")&amp;IF(AND('Project Register'!L138&lt;&gt;"",'Project Register'!M138=""),"Role 3 missing. ","")&amp;IF(OR(AND('Project Register'!H138&lt;&gt;"",'Project Register'!H138='Project Register'!J138),AND('Project Register'!H138&lt;&gt;"",'Project Register'!H138='Project Register'!L138),AND('Project Register'!J138&lt;&gt;"",'Project Register'!J138='Project Register'!L138)),"Same person listed twice. ","")&amp;IF(AND('Project Register'!H138&lt;&gt;"",COUNTIF(Resources!$A$2:$A$51,'Project Register'!H138)=0),"Resource 1 not in Resources sheet. ","")&amp;IF(AND('Project Register'!J138&lt;&gt;"",COUNTIF(Resources!$A$2:$A$51,'Project Register'!J138)=0),"Resource 2 not in Resources sheet. ","")&amp;IF(AND('Project Register'!L138&lt;&gt;"",COUNTIF(Resources!$A$2:$A$51,'Project Register'!L138)=0),"Resource 3 not in Resources sheet. ","")&amp;IF('Project Register'!O138="","Test Status missing. ","")&amp;IF(AND(ISNUMBER(E138),E138&gt;1),"This task alone needs over 100% per person. ","")&amp;IF(AND('Project Register'!Q138="Deployed in Live",'Project Register'!R138=""),"Release Date blank (import date will be used). ","")))</f>
        <v/>
      </c>
      <c r="G138" s="17" t="str">
        <f aca="false">IF('Project Register'!$A138="","",IF(F138="","OK","Check"))</f>
        <v/>
      </c>
    </row>
    <row r="139" customFormat="false" ht="15" hidden="false" customHeight="false" outlineLevel="0" collapsed="false">
      <c r="A139" s="15" t="str">
        <f aca="false">IF('Project Register'!$A139="","",ROW('Project Register'!A139))</f>
        <v/>
      </c>
      <c r="B139" s="15" t="str">
        <f aca="false">IF('Project Register'!$A139="","",'Project Register'!B139)</f>
        <v/>
      </c>
      <c r="C139" s="15" t="str">
        <f aca="false">IF('Project Register'!$A139="","",IF(OR('Project Register'!E139="",'Project Register'!F139=""),"",IF('Project Register'!F139&lt;'Project Register'!E139,0,NETWORKDAYS.INTL('Project Register'!E139,'Project Register'!F139,"0000110",Holidays_Leave!$A$3:$A$62))))</f>
        <v/>
      </c>
      <c r="D139" s="15" t="str">
        <f aca="false">IF('Project Register'!$A139="","",('Project Register'!H139&lt;&gt;"")+('Project Register'!J139&lt;&gt;"")+('Project Register'!L139&lt;&gt;""))</f>
        <v/>
      </c>
      <c r="E139" s="16" t="str">
        <f aca="false">IF(OR(C139="",D139="",'Project Register'!G139=""),"",IF(OR(C139=0,D139=0),"",'Project Register'!G139/(C139*D139)))</f>
        <v/>
      </c>
      <c r="F139" s="15" t="str">
        <f aca="false">IF('Project Register'!$A139="","",TRIM(IF(OR('Project Register'!E139="",'Project Register'!F139=""),"Missing date. ","")&amp;IF(AND('Project Register'!E139&lt;&gt;"",'Project Register'!F139&lt;&gt;"",'Project Register'!F139&lt;'Project Register'!E139),"End before start. ","")&amp;IF(NOT(ISNUMBER('Project Register'!G139)),"Effort missing. ","")&amp;IF(D139=0,"No resource. ","")&amp;IF(AND('Project Register'!H139&lt;&gt;"",'Project Register'!I139=""),"Role 1 missing. ","")&amp;IF(AND('Project Register'!J139&lt;&gt;"",'Project Register'!K139=""),"Role 2 missing. ","")&amp;IF(AND('Project Register'!L139&lt;&gt;"",'Project Register'!M139=""),"Role 3 missing. ","")&amp;IF(OR(AND('Project Register'!H139&lt;&gt;"",'Project Register'!H139='Project Register'!J139),AND('Project Register'!H139&lt;&gt;"",'Project Register'!H139='Project Register'!L139),AND('Project Register'!J139&lt;&gt;"",'Project Register'!J139='Project Register'!L139)),"Same person listed twice. ","")&amp;IF(AND('Project Register'!H139&lt;&gt;"",COUNTIF(Resources!$A$2:$A$51,'Project Register'!H139)=0),"Resource 1 not in Resources sheet. ","")&amp;IF(AND('Project Register'!J139&lt;&gt;"",COUNTIF(Resources!$A$2:$A$51,'Project Register'!J139)=0),"Resource 2 not in Resources sheet. ","")&amp;IF(AND('Project Register'!L139&lt;&gt;"",COUNTIF(Resources!$A$2:$A$51,'Project Register'!L139)=0),"Resource 3 not in Resources sheet. ","")&amp;IF('Project Register'!O139="","Test Status missing. ","")&amp;IF(AND(ISNUMBER(E139),E139&gt;1),"This task alone needs over 100% per person. ","")&amp;IF(AND('Project Register'!Q139="Deployed in Live",'Project Register'!R139=""),"Release Date blank (import date will be used). ","")))</f>
        <v/>
      </c>
      <c r="G139" s="17" t="str">
        <f aca="false">IF('Project Register'!$A139="","",IF(F139="","OK","Check"))</f>
        <v/>
      </c>
    </row>
    <row r="140" customFormat="false" ht="15" hidden="false" customHeight="false" outlineLevel="0" collapsed="false">
      <c r="A140" s="15" t="str">
        <f aca="false">IF('Project Register'!$A140="","",ROW('Project Register'!A140))</f>
        <v/>
      </c>
      <c r="B140" s="15" t="str">
        <f aca="false">IF('Project Register'!$A140="","",'Project Register'!B140)</f>
        <v/>
      </c>
      <c r="C140" s="15" t="str">
        <f aca="false">IF('Project Register'!$A140="","",IF(OR('Project Register'!E140="",'Project Register'!F140=""),"",IF('Project Register'!F140&lt;'Project Register'!E140,0,NETWORKDAYS.INTL('Project Register'!E140,'Project Register'!F140,"0000110",Holidays_Leave!$A$3:$A$62))))</f>
        <v/>
      </c>
      <c r="D140" s="15" t="str">
        <f aca="false">IF('Project Register'!$A140="","",('Project Register'!H140&lt;&gt;"")+('Project Register'!J140&lt;&gt;"")+('Project Register'!L140&lt;&gt;""))</f>
        <v/>
      </c>
      <c r="E140" s="16" t="str">
        <f aca="false">IF(OR(C140="",D140="",'Project Register'!G140=""),"",IF(OR(C140=0,D140=0),"",'Project Register'!G140/(C140*D140)))</f>
        <v/>
      </c>
      <c r="F140" s="15" t="str">
        <f aca="false">IF('Project Register'!$A140="","",TRIM(IF(OR('Project Register'!E140="",'Project Register'!F140=""),"Missing date. ","")&amp;IF(AND('Project Register'!E140&lt;&gt;"",'Project Register'!F140&lt;&gt;"",'Project Register'!F140&lt;'Project Register'!E140),"End before start. ","")&amp;IF(NOT(ISNUMBER('Project Register'!G140)),"Effort missing. ","")&amp;IF(D140=0,"No resource. ","")&amp;IF(AND('Project Register'!H140&lt;&gt;"",'Project Register'!I140=""),"Role 1 missing. ","")&amp;IF(AND('Project Register'!J140&lt;&gt;"",'Project Register'!K140=""),"Role 2 missing. ","")&amp;IF(AND('Project Register'!L140&lt;&gt;"",'Project Register'!M140=""),"Role 3 missing. ","")&amp;IF(OR(AND('Project Register'!H140&lt;&gt;"",'Project Register'!H140='Project Register'!J140),AND('Project Register'!H140&lt;&gt;"",'Project Register'!H140='Project Register'!L140),AND('Project Register'!J140&lt;&gt;"",'Project Register'!J140='Project Register'!L140)),"Same person listed twice. ","")&amp;IF(AND('Project Register'!H140&lt;&gt;"",COUNTIF(Resources!$A$2:$A$51,'Project Register'!H140)=0),"Resource 1 not in Resources sheet. ","")&amp;IF(AND('Project Register'!J140&lt;&gt;"",COUNTIF(Resources!$A$2:$A$51,'Project Register'!J140)=0),"Resource 2 not in Resources sheet. ","")&amp;IF(AND('Project Register'!L140&lt;&gt;"",COUNTIF(Resources!$A$2:$A$51,'Project Register'!L140)=0),"Resource 3 not in Resources sheet. ","")&amp;IF('Project Register'!O140="","Test Status missing. ","")&amp;IF(AND(ISNUMBER(E140),E140&gt;1),"This task alone needs over 100% per person. ","")&amp;IF(AND('Project Register'!Q140="Deployed in Live",'Project Register'!R140=""),"Release Date blank (import date will be used). ","")))</f>
        <v/>
      </c>
      <c r="G140" s="17" t="str">
        <f aca="false">IF('Project Register'!$A140="","",IF(F140="","OK","Check"))</f>
        <v/>
      </c>
    </row>
    <row r="141" customFormat="false" ht="15" hidden="false" customHeight="false" outlineLevel="0" collapsed="false">
      <c r="A141" s="15" t="str">
        <f aca="false">IF('Project Register'!$A141="","",ROW('Project Register'!A141))</f>
        <v/>
      </c>
      <c r="B141" s="15" t="str">
        <f aca="false">IF('Project Register'!$A141="","",'Project Register'!B141)</f>
        <v/>
      </c>
      <c r="C141" s="15" t="str">
        <f aca="false">IF('Project Register'!$A141="","",IF(OR('Project Register'!E141="",'Project Register'!F141=""),"",IF('Project Register'!F141&lt;'Project Register'!E141,0,NETWORKDAYS.INTL('Project Register'!E141,'Project Register'!F141,"0000110",Holidays_Leave!$A$3:$A$62))))</f>
        <v/>
      </c>
      <c r="D141" s="15" t="str">
        <f aca="false">IF('Project Register'!$A141="","",('Project Register'!H141&lt;&gt;"")+('Project Register'!J141&lt;&gt;"")+('Project Register'!L141&lt;&gt;""))</f>
        <v/>
      </c>
      <c r="E141" s="16" t="str">
        <f aca="false">IF(OR(C141="",D141="",'Project Register'!G141=""),"",IF(OR(C141=0,D141=0),"",'Project Register'!G141/(C141*D141)))</f>
        <v/>
      </c>
      <c r="F141" s="15" t="str">
        <f aca="false">IF('Project Register'!$A141="","",TRIM(IF(OR('Project Register'!E141="",'Project Register'!F141=""),"Missing date. ","")&amp;IF(AND('Project Register'!E141&lt;&gt;"",'Project Register'!F141&lt;&gt;"",'Project Register'!F141&lt;'Project Register'!E141),"End before start. ","")&amp;IF(NOT(ISNUMBER('Project Register'!G141)),"Effort missing. ","")&amp;IF(D141=0,"No resource. ","")&amp;IF(AND('Project Register'!H141&lt;&gt;"",'Project Register'!I141=""),"Role 1 missing. ","")&amp;IF(AND('Project Register'!J141&lt;&gt;"",'Project Register'!K141=""),"Role 2 missing. ","")&amp;IF(AND('Project Register'!L141&lt;&gt;"",'Project Register'!M141=""),"Role 3 missing. ","")&amp;IF(OR(AND('Project Register'!H141&lt;&gt;"",'Project Register'!H141='Project Register'!J141),AND('Project Register'!H141&lt;&gt;"",'Project Register'!H141='Project Register'!L141),AND('Project Register'!J141&lt;&gt;"",'Project Register'!J141='Project Register'!L141)),"Same person listed twice. ","")&amp;IF(AND('Project Register'!H141&lt;&gt;"",COUNTIF(Resources!$A$2:$A$51,'Project Register'!H141)=0),"Resource 1 not in Resources sheet. ","")&amp;IF(AND('Project Register'!J141&lt;&gt;"",COUNTIF(Resources!$A$2:$A$51,'Project Register'!J141)=0),"Resource 2 not in Resources sheet. ","")&amp;IF(AND('Project Register'!L141&lt;&gt;"",COUNTIF(Resources!$A$2:$A$51,'Project Register'!L141)=0),"Resource 3 not in Resources sheet. ","")&amp;IF('Project Register'!O141="","Test Status missing. ","")&amp;IF(AND(ISNUMBER(E141),E141&gt;1),"This task alone needs over 100% per person. ","")&amp;IF(AND('Project Register'!Q141="Deployed in Live",'Project Register'!R141=""),"Release Date blank (import date will be used). ","")))</f>
        <v/>
      </c>
      <c r="G141" s="17" t="str">
        <f aca="false">IF('Project Register'!$A141="","",IF(F141="","OK","Check"))</f>
        <v/>
      </c>
    </row>
    <row r="142" customFormat="false" ht="15" hidden="false" customHeight="false" outlineLevel="0" collapsed="false">
      <c r="A142" s="15" t="str">
        <f aca="false">IF('Project Register'!$A142="","",ROW('Project Register'!A142))</f>
        <v/>
      </c>
      <c r="B142" s="15" t="str">
        <f aca="false">IF('Project Register'!$A142="","",'Project Register'!B142)</f>
        <v/>
      </c>
      <c r="C142" s="15" t="str">
        <f aca="false">IF('Project Register'!$A142="","",IF(OR('Project Register'!E142="",'Project Register'!F142=""),"",IF('Project Register'!F142&lt;'Project Register'!E142,0,NETWORKDAYS.INTL('Project Register'!E142,'Project Register'!F142,"0000110",Holidays_Leave!$A$3:$A$62))))</f>
        <v/>
      </c>
      <c r="D142" s="15" t="str">
        <f aca="false">IF('Project Register'!$A142="","",('Project Register'!H142&lt;&gt;"")+('Project Register'!J142&lt;&gt;"")+('Project Register'!L142&lt;&gt;""))</f>
        <v/>
      </c>
      <c r="E142" s="16" t="str">
        <f aca="false">IF(OR(C142="",D142="",'Project Register'!G142=""),"",IF(OR(C142=0,D142=0),"",'Project Register'!G142/(C142*D142)))</f>
        <v/>
      </c>
      <c r="F142" s="15" t="str">
        <f aca="false">IF('Project Register'!$A142="","",TRIM(IF(OR('Project Register'!E142="",'Project Register'!F142=""),"Missing date. ","")&amp;IF(AND('Project Register'!E142&lt;&gt;"",'Project Register'!F142&lt;&gt;"",'Project Register'!F142&lt;'Project Register'!E142),"End before start. ","")&amp;IF(NOT(ISNUMBER('Project Register'!G142)),"Effort missing. ","")&amp;IF(D142=0,"No resource. ","")&amp;IF(AND('Project Register'!H142&lt;&gt;"",'Project Register'!I142=""),"Role 1 missing. ","")&amp;IF(AND('Project Register'!J142&lt;&gt;"",'Project Register'!K142=""),"Role 2 missing. ","")&amp;IF(AND('Project Register'!L142&lt;&gt;"",'Project Register'!M142=""),"Role 3 missing. ","")&amp;IF(OR(AND('Project Register'!H142&lt;&gt;"",'Project Register'!H142='Project Register'!J142),AND('Project Register'!H142&lt;&gt;"",'Project Register'!H142='Project Register'!L142),AND('Project Register'!J142&lt;&gt;"",'Project Register'!J142='Project Register'!L142)),"Same person listed twice. ","")&amp;IF(AND('Project Register'!H142&lt;&gt;"",COUNTIF(Resources!$A$2:$A$51,'Project Register'!H142)=0),"Resource 1 not in Resources sheet. ","")&amp;IF(AND('Project Register'!J142&lt;&gt;"",COUNTIF(Resources!$A$2:$A$51,'Project Register'!J142)=0),"Resource 2 not in Resources sheet. ","")&amp;IF(AND('Project Register'!L142&lt;&gt;"",COUNTIF(Resources!$A$2:$A$51,'Project Register'!L142)=0),"Resource 3 not in Resources sheet. ","")&amp;IF('Project Register'!O142="","Test Status missing. ","")&amp;IF(AND(ISNUMBER(E142),E142&gt;1),"This task alone needs over 100% per person. ","")&amp;IF(AND('Project Register'!Q142="Deployed in Live",'Project Register'!R142=""),"Release Date blank (import date will be used). ","")))</f>
        <v/>
      </c>
      <c r="G142" s="17" t="str">
        <f aca="false">IF('Project Register'!$A142="","",IF(F142="","OK","Check"))</f>
        <v/>
      </c>
    </row>
    <row r="143" customFormat="false" ht="15" hidden="false" customHeight="false" outlineLevel="0" collapsed="false">
      <c r="A143" s="15" t="str">
        <f aca="false">IF('Project Register'!$A143="","",ROW('Project Register'!A143))</f>
        <v/>
      </c>
      <c r="B143" s="15" t="str">
        <f aca="false">IF('Project Register'!$A143="","",'Project Register'!B143)</f>
        <v/>
      </c>
      <c r="C143" s="15" t="str">
        <f aca="false">IF('Project Register'!$A143="","",IF(OR('Project Register'!E143="",'Project Register'!F143=""),"",IF('Project Register'!F143&lt;'Project Register'!E143,0,NETWORKDAYS.INTL('Project Register'!E143,'Project Register'!F143,"0000110",Holidays_Leave!$A$3:$A$62))))</f>
        <v/>
      </c>
      <c r="D143" s="15" t="str">
        <f aca="false">IF('Project Register'!$A143="","",('Project Register'!H143&lt;&gt;"")+('Project Register'!J143&lt;&gt;"")+('Project Register'!L143&lt;&gt;""))</f>
        <v/>
      </c>
      <c r="E143" s="16" t="str">
        <f aca="false">IF(OR(C143="",D143="",'Project Register'!G143=""),"",IF(OR(C143=0,D143=0),"",'Project Register'!G143/(C143*D143)))</f>
        <v/>
      </c>
      <c r="F143" s="15" t="str">
        <f aca="false">IF('Project Register'!$A143="","",TRIM(IF(OR('Project Register'!E143="",'Project Register'!F143=""),"Missing date. ","")&amp;IF(AND('Project Register'!E143&lt;&gt;"",'Project Register'!F143&lt;&gt;"",'Project Register'!F143&lt;'Project Register'!E143),"End before start. ","")&amp;IF(NOT(ISNUMBER('Project Register'!G143)),"Effort missing. ","")&amp;IF(D143=0,"No resource. ","")&amp;IF(AND('Project Register'!H143&lt;&gt;"",'Project Register'!I143=""),"Role 1 missing. ","")&amp;IF(AND('Project Register'!J143&lt;&gt;"",'Project Register'!K143=""),"Role 2 missing. ","")&amp;IF(AND('Project Register'!L143&lt;&gt;"",'Project Register'!M143=""),"Role 3 missing. ","")&amp;IF(OR(AND('Project Register'!H143&lt;&gt;"",'Project Register'!H143='Project Register'!J143),AND('Project Register'!H143&lt;&gt;"",'Project Register'!H143='Project Register'!L143),AND('Project Register'!J143&lt;&gt;"",'Project Register'!J143='Project Register'!L143)),"Same person listed twice. ","")&amp;IF(AND('Project Register'!H143&lt;&gt;"",COUNTIF(Resources!$A$2:$A$51,'Project Register'!H143)=0),"Resource 1 not in Resources sheet. ","")&amp;IF(AND('Project Register'!J143&lt;&gt;"",COUNTIF(Resources!$A$2:$A$51,'Project Register'!J143)=0),"Resource 2 not in Resources sheet. ","")&amp;IF(AND('Project Register'!L143&lt;&gt;"",COUNTIF(Resources!$A$2:$A$51,'Project Register'!L143)=0),"Resource 3 not in Resources sheet. ","")&amp;IF('Project Register'!O143="","Test Status missing. ","")&amp;IF(AND(ISNUMBER(E143),E143&gt;1),"This task alone needs over 100% per person. ","")&amp;IF(AND('Project Register'!Q143="Deployed in Live",'Project Register'!R143=""),"Release Date blank (import date will be used). ","")))</f>
        <v/>
      </c>
      <c r="G143" s="17" t="str">
        <f aca="false">IF('Project Register'!$A143="","",IF(F143="","OK","Check"))</f>
        <v/>
      </c>
    </row>
    <row r="144" customFormat="false" ht="15" hidden="false" customHeight="false" outlineLevel="0" collapsed="false">
      <c r="A144" s="15" t="str">
        <f aca="false">IF('Project Register'!$A144="","",ROW('Project Register'!A144))</f>
        <v/>
      </c>
      <c r="B144" s="15" t="str">
        <f aca="false">IF('Project Register'!$A144="","",'Project Register'!B144)</f>
        <v/>
      </c>
      <c r="C144" s="15" t="str">
        <f aca="false">IF('Project Register'!$A144="","",IF(OR('Project Register'!E144="",'Project Register'!F144=""),"",IF('Project Register'!F144&lt;'Project Register'!E144,0,NETWORKDAYS.INTL('Project Register'!E144,'Project Register'!F144,"0000110",Holidays_Leave!$A$3:$A$62))))</f>
        <v/>
      </c>
      <c r="D144" s="15" t="str">
        <f aca="false">IF('Project Register'!$A144="","",('Project Register'!H144&lt;&gt;"")+('Project Register'!J144&lt;&gt;"")+('Project Register'!L144&lt;&gt;""))</f>
        <v/>
      </c>
      <c r="E144" s="16" t="str">
        <f aca="false">IF(OR(C144="",D144="",'Project Register'!G144=""),"",IF(OR(C144=0,D144=0),"",'Project Register'!G144/(C144*D144)))</f>
        <v/>
      </c>
      <c r="F144" s="15" t="str">
        <f aca="false">IF('Project Register'!$A144="","",TRIM(IF(OR('Project Register'!E144="",'Project Register'!F144=""),"Missing date. ","")&amp;IF(AND('Project Register'!E144&lt;&gt;"",'Project Register'!F144&lt;&gt;"",'Project Register'!F144&lt;'Project Register'!E144),"End before start. ","")&amp;IF(NOT(ISNUMBER('Project Register'!G144)),"Effort missing. ","")&amp;IF(D144=0,"No resource. ","")&amp;IF(AND('Project Register'!H144&lt;&gt;"",'Project Register'!I144=""),"Role 1 missing. ","")&amp;IF(AND('Project Register'!J144&lt;&gt;"",'Project Register'!K144=""),"Role 2 missing. ","")&amp;IF(AND('Project Register'!L144&lt;&gt;"",'Project Register'!M144=""),"Role 3 missing. ","")&amp;IF(OR(AND('Project Register'!H144&lt;&gt;"",'Project Register'!H144='Project Register'!J144),AND('Project Register'!H144&lt;&gt;"",'Project Register'!H144='Project Register'!L144),AND('Project Register'!J144&lt;&gt;"",'Project Register'!J144='Project Register'!L144)),"Same person listed twice. ","")&amp;IF(AND('Project Register'!H144&lt;&gt;"",COUNTIF(Resources!$A$2:$A$51,'Project Register'!H144)=0),"Resource 1 not in Resources sheet. ","")&amp;IF(AND('Project Register'!J144&lt;&gt;"",COUNTIF(Resources!$A$2:$A$51,'Project Register'!J144)=0),"Resource 2 not in Resources sheet. ","")&amp;IF(AND('Project Register'!L144&lt;&gt;"",COUNTIF(Resources!$A$2:$A$51,'Project Register'!L144)=0),"Resource 3 not in Resources sheet. ","")&amp;IF('Project Register'!O144="","Test Status missing. ","")&amp;IF(AND(ISNUMBER(E144),E144&gt;1),"This task alone needs over 100% per person. ","")&amp;IF(AND('Project Register'!Q144="Deployed in Live",'Project Register'!R144=""),"Release Date blank (import date will be used). ","")))</f>
        <v/>
      </c>
      <c r="G144" s="17" t="str">
        <f aca="false">IF('Project Register'!$A144="","",IF(F144="","OK","Check"))</f>
        <v/>
      </c>
    </row>
    <row r="145" customFormat="false" ht="15" hidden="false" customHeight="false" outlineLevel="0" collapsed="false">
      <c r="A145" s="15" t="str">
        <f aca="false">IF('Project Register'!$A145="","",ROW('Project Register'!A145))</f>
        <v/>
      </c>
      <c r="B145" s="15" t="str">
        <f aca="false">IF('Project Register'!$A145="","",'Project Register'!B145)</f>
        <v/>
      </c>
      <c r="C145" s="15" t="str">
        <f aca="false">IF('Project Register'!$A145="","",IF(OR('Project Register'!E145="",'Project Register'!F145=""),"",IF('Project Register'!F145&lt;'Project Register'!E145,0,NETWORKDAYS.INTL('Project Register'!E145,'Project Register'!F145,"0000110",Holidays_Leave!$A$3:$A$62))))</f>
        <v/>
      </c>
      <c r="D145" s="15" t="str">
        <f aca="false">IF('Project Register'!$A145="","",('Project Register'!H145&lt;&gt;"")+('Project Register'!J145&lt;&gt;"")+('Project Register'!L145&lt;&gt;""))</f>
        <v/>
      </c>
      <c r="E145" s="16" t="str">
        <f aca="false">IF(OR(C145="",D145="",'Project Register'!G145=""),"",IF(OR(C145=0,D145=0),"",'Project Register'!G145/(C145*D145)))</f>
        <v/>
      </c>
      <c r="F145" s="15" t="str">
        <f aca="false">IF('Project Register'!$A145="","",TRIM(IF(OR('Project Register'!E145="",'Project Register'!F145=""),"Missing date. ","")&amp;IF(AND('Project Register'!E145&lt;&gt;"",'Project Register'!F145&lt;&gt;"",'Project Register'!F145&lt;'Project Register'!E145),"End before start. ","")&amp;IF(NOT(ISNUMBER('Project Register'!G145)),"Effort missing. ","")&amp;IF(D145=0,"No resource. ","")&amp;IF(AND('Project Register'!H145&lt;&gt;"",'Project Register'!I145=""),"Role 1 missing. ","")&amp;IF(AND('Project Register'!J145&lt;&gt;"",'Project Register'!K145=""),"Role 2 missing. ","")&amp;IF(AND('Project Register'!L145&lt;&gt;"",'Project Register'!M145=""),"Role 3 missing. ","")&amp;IF(OR(AND('Project Register'!H145&lt;&gt;"",'Project Register'!H145='Project Register'!J145),AND('Project Register'!H145&lt;&gt;"",'Project Register'!H145='Project Register'!L145),AND('Project Register'!J145&lt;&gt;"",'Project Register'!J145='Project Register'!L145)),"Same person listed twice. ","")&amp;IF(AND('Project Register'!H145&lt;&gt;"",COUNTIF(Resources!$A$2:$A$51,'Project Register'!H145)=0),"Resource 1 not in Resources sheet. ","")&amp;IF(AND('Project Register'!J145&lt;&gt;"",COUNTIF(Resources!$A$2:$A$51,'Project Register'!J145)=0),"Resource 2 not in Resources sheet. ","")&amp;IF(AND('Project Register'!L145&lt;&gt;"",COUNTIF(Resources!$A$2:$A$51,'Project Register'!L145)=0),"Resource 3 not in Resources sheet. ","")&amp;IF('Project Register'!O145="","Test Status missing. ","")&amp;IF(AND(ISNUMBER(E145),E145&gt;1),"This task alone needs over 100% per person. ","")&amp;IF(AND('Project Register'!Q145="Deployed in Live",'Project Register'!R145=""),"Release Date blank (import date will be used). ","")))</f>
        <v/>
      </c>
      <c r="G145" s="17" t="str">
        <f aca="false">IF('Project Register'!$A145="","",IF(F145="","OK","Check"))</f>
        <v/>
      </c>
    </row>
    <row r="146" customFormat="false" ht="15" hidden="false" customHeight="false" outlineLevel="0" collapsed="false">
      <c r="A146" s="15" t="str">
        <f aca="false">IF('Project Register'!$A146="","",ROW('Project Register'!A146))</f>
        <v/>
      </c>
      <c r="B146" s="15" t="str">
        <f aca="false">IF('Project Register'!$A146="","",'Project Register'!B146)</f>
        <v/>
      </c>
      <c r="C146" s="15" t="str">
        <f aca="false">IF('Project Register'!$A146="","",IF(OR('Project Register'!E146="",'Project Register'!F146=""),"",IF('Project Register'!F146&lt;'Project Register'!E146,0,NETWORKDAYS.INTL('Project Register'!E146,'Project Register'!F146,"0000110",Holidays_Leave!$A$3:$A$62))))</f>
        <v/>
      </c>
      <c r="D146" s="15" t="str">
        <f aca="false">IF('Project Register'!$A146="","",('Project Register'!H146&lt;&gt;"")+('Project Register'!J146&lt;&gt;"")+('Project Register'!L146&lt;&gt;""))</f>
        <v/>
      </c>
      <c r="E146" s="16" t="str">
        <f aca="false">IF(OR(C146="",D146="",'Project Register'!G146=""),"",IF(OR(C146=0,D146=0),"",'Project Register'!G146/(C146*D146)))</f>
        <v/>
      </c>
      <c r="F146" s="15" t="str">
        <f aca="false">IF('Project Register'!$A146="","",TRIM(IF(OR('Project Register'!E146="",'Project Register'!F146=""),"Missing date. ","")&amp;IF(AND('Project Register'!E146&lt;&gt;"",'Project Register'!F146&lt;&gt;"",'Project Register'!F146&lt;'Project Register'!E146),"End before start. ","")&amp;IF(NOT(ISNUMBER('Project Register'!G146)),"Effort missing. ","")&amp;IF(D146=0,"No resource. ","")&amp;IF(AND('Project Register'!H146&lt;&gt;"",'Project Register'!I146=""),"Role 1 missing. ","")&amp;IF(AND('Project Register'!J146&lt;&gt;"",'Project Register'!K146=""),"Role 2 missing. ","")&amp;IF(AND('Project Register'!L146&lt;&gt;"",'Project Register'!M146=""),"Role 3 missing. ","")&amp;IF(OR(AND('Project Register'!H146&lt;&gt;"",'Project Register'!H146='Project Register'!J146),AND('Project Register'!H146&lt;&gt;"",'Project Register'!H146='Project Register'!L146),AND('Project Register'!J146&lt;&gt;"",'Project Register'!J146='Project Register'!L146)),"Same person listed twice. ","")&amp;IF(AND('Project Register'!H146&lt;&gt;"",COUNTIF(Resources!$A$2:$A$51,'Project Register'!H146)=0),"Resource 1 not in Resources sheet. ","")&amp;IF(AND('Project Register'!J146&lt;&gt;"",COUNTIF(Resources!$A$2:$A$51,'Project Register'!J146)=0),"Resource 2 not in Resources sheet. ","")&amp;IF(AND('Project Register'!L146&lt;&gt;"",COUNTIF(Resources!$A$2:$A$51,'Project Register'!L146)=0),"Resource 3 not in Resources sheet. ","")&amp;IF('Project Register'!O146="","Test Status missing. ","")&amp;IF(AND(ISNUMBER(E146),E146&gt;1),"This task alone needs over 100% per person. ","")&amp;IF(AND('Project Register'!Q146="Deployed in Live",'Project Register'!R146=""),"Release Date blank (import date will be used). ","")))</f>
        <v/>
      </c>
      <c r="G146" s="17" t="str">
        <f aca="false">IF('Project Register'!$A146="","",IF(F146="","OK","Check"))</f>
        <v/>
      </c>
    </row>
    <row r="147" customFormat="false" ht="15" hidden="false" customHeight="false" outlineLevel="0" collapsed="false">
      <c r="A147" s="15" t="str">
        <f aca="false">IF('Project Register'!$A147="","",ROW('Project Register'!A147))</f>
        <v/>
      </c>
      <c r="B147" s="15" t="str">
        <f aca="false">IF('Project Register'!$A147="","",'Project Register'!B147)</f>
        <v/>
      </c>
      <c r="C147" s="15" t="str">
        <f aca="false">IF('Project Register'!$A147="","",IF(OR('Project Register'!E147="",'Project Register'!F147=""),"",IF('Project Register'!F147&lt;'Project Register'!E147,0,NETWORKDAYS.INTL('Project Register'!E147,'Project Register'!F147,"0000110",Holidays_Leave!$A$3:$A$62))))</f>
        <v/>
      </c>
      <c r="D147" s="15" t="str">
        <f aca="false">IF('Project Register'!$A147="","",('Project Register'!H147&lt;&gt;"")+('Project Register'!J147&lt;&gt;"")+('Project Register'!L147&lt;&gt;""))</f>
        <v/>
      </c>
      <c r="E147" s="16" t="str">
        <f aca="false">IF(OR(C147="",D147="",'Project Register'!G147=""),"",IF(OR(C147=0,D147=0),"",'Project Register'!G147/(C147*D147)))</f>
        <v/>
      </c>
      <c r="F147" s="15" t="str">
        <f aca="false">IF('Project Register'!$A147="","",TRIM(IF(OR('Project Register'!E147="",'Project Register'!F147=""),"Missing date. ","")&amp;IF(AND('Project Register'!E147&lt;&gt;"",'Project Register'!F147&lt;&gt;"",'Project Register'!F147&lt;'Project Register'!E147),"End before start. ","")&amp;IF(NOT(ISNUMBER('Project Register'!G147)),"Effort missing. ","")&amp;IF(D147=0,"No resource. ","")&amp;IF(AND('Project Register'!H147&lt;&gt;"",'Project Register'!I147=""),"Role 1 missing. ","")&amp;IF(AND('Project Register'!J147&lt;&gt;"",'Project Register'!K147=""),"Role 2 missing. ","")&amp;IF(AND('Project Register'!L147&lt;&gt;"",'Project Register'!M147=""),"Role 3 missing. ","")&amp;IF(OR(AND('Project Register'!H147&lt;&gt;"",'Project Register'!H147='Project Register'!J147),AND('Project Register'!H147&lt;&gt;"",'Project Register'!H147='Project Register'!L147),AND('Project Register'!J147&lt;&gt;"",'Project Register'!J147='Project Register'!L147)),"Same person listed twice. ","")&amp;IF(AND('Project Register'!H147&lt;&gt;"",COUNTIF(Resources!$A$2:$A$51,'Project Register'!H147)=0),"Resource 1 not in Resources sheet. ","")&amp;IF(AND('Project Register'!J147&lt;&gt;"",COUNTIF(Resources!$A$2:$A$51,'Project Register'!J147)=0),"Resource 2 not in Resources sheet. ","")&amp;IF(AND('Project Register'!L147&lt;&gt;"",COUNTIF(Resources!$A$2:$A$51,'Project Register'!L147)=0),"Resource 3 not in Resources sheet. ","")&amp;IF('Project Register'!O147="","Test Status missing. ","")&amp;IF(AND(ISNUMBER(E147),E147&gt;1),"This task alone needs over 100% per person. ","")&amp;IF(AND('Project Register'!Q147="Deployed in Live",'Project Register'!R147=""),"Release Date blank (import date will be used). ","")))</f>
        <v/>
      </c>
      <c r="G147" s="17" t="str">
        <f aca="false">IF('Project Register'!$A147="","",IF(F147="","OK","Check"))</f>
        <v/>
      </c>
    </row>
    <row r="148" customFormat="false" ht="15" hidden="false" customHeight="false" outlineLevel="0" collapsed="false">
      <c r="A148" s="15" t="str">
        <f aca="false">IF('Project Register'!$A148="","",ROW('Project Register'!A148))</f>
        <v/>
      </c>
      <c r="B148" s="15" t="str">
        <f aca="false">IF('Project Register'!$A148="","",'Project Register'!B148)</f>
        <v/>
      </c>
      <c r="C148" s="15" t="str">
        <f aca="false">IF('Project Register'!$A148="","",IF(OR('Project Register'!E148="",'Project Register'!F148=""),"",IF('Project Register'!F148&lt;'Project Register'!E148,0,NETWORKDAYS.INTL('Project Register'!E148,'Project Register'!F148,"0000110",Holidays_Leave!$A$3:$A$62))))</f>
        <v/>
      </c>
      <c r="D148" s="15" t="str">
        <f aca="false">IF('Project Register'!$A148="","",('Project Register'!H148&lt;&gt;"")+('Project Register'!J148&lt;&gt;"")+('Project Register'!L148&lt;&gt;""))</f>
        <v/>
      </c>
      <c r="E148" s="16" t="str">
        <f aca="false">IF(OR(C148="",D148="",'Project Register'!G148=""),"",IF(OR(C148=0,D148=0),"",'Project Register'!G148/(C148*D148)))</f>
        <v/>
      </c>
      <c r="F148" s="15" t="str">
        <f aca="false">IF('Project Register'!$A148="","",TRIM(IF(OR('Project Register'!E148="",'Project Register'!F148=""),"Missing date. ","")&amp;IF(AND('Project Register'!E148&lt;&gt;"",'Project Register'!F148&lt;&gt;"",'Project Register'!F148&lt;'Project Register'!E148),"End before start. ","")&amp;IF(NOT(ISNUMBER('Project Register'!G148)),"Effort missing. ","")&amp;IF(D148=0,"No resource. ","")&amp;IF(AND('Project Register'!H148&lt;&gt;"",'Project Register'!I148=""),"Role 1 missing. ","")&amp;IF(AND('Project Register'!J148&lt;&gt;"",'Project Register'!K148=""),"Role 2 missing. ","")&amp;IF(AND('Project Register'!L148&lt;&gt;"",'Project Register'!M148=""),"Role 3 missing. ","")&amp;IF(OR(AND('Project Register'!H148&lt;&gt;"",'Project Register'!H148='Project Register'!J148),AND('Project Register'!H148&lt;&gt;"",'Project Register'!H148='Project Register'!L148),AND('Project Register'!J148&lt;&gt;"",'Project Register'!J148='Project Register'!L148)),"Same person listed twice. ","")&amp;IF(AND('Project Register'!H148&lt;&gt;"",COUNTIF(Resources!$A$2:$A$51,'Project Register'!H148)=0),"Resource 1 not in Resources sheet. ","")&amp;IF(AND('Project Register'!J148&lt;&gt;"",COUNTIF(Resources!$A$2:$A$51,'Project Register'!J148)=0),"Resource 2 not in Resources sheet. ","")&amp;IF(AND('Project Register'!L148&lt;&gt;"",COUNTIF(Resources!$A$2:$A$51,'Project Register'!L148)=0),"Resource 3 not in Resources sheet. ","")&amp;IF('Project Register'!O148="","Test Status missing. ","")&amp;IF(AND(ISNUMBER(E148),E148&gt;1),"This task alone needs over 100% per person. ","")&amp;IF(AND('Project Register'!Q148="Deployed in Live",'Project Register'!R148=""),"Release Date blank (import date will be used). ","")))</f>
        <v/>
      </c>
      <c r="G148" s="17" t="str">
        <f aca="false">IF('Project Register'!$A148="","",IF(F148="","OK","Check"))</f>
        <v/>
      </c>
    </row>
    <row r="149" customFormat="false" ht="15" hidden="false" customHeight="false" outlineLevel="0" collapsed="false">
      <c r="A149" s="15" t="str">
        <f aca="false">IF('Project Register'!$A149="","",ROW('Project Register'!A149))</f>
        <v/>
      </c>
      <c r="B149" s="15" t="str">
        <f aca="false">IF('Project Register'!$A149="","",'Project Register'!B149)</f>
        <v/>
      </c>
      <c r="C149" s="15" t="str">
        <f aca="false">IF('Project Register'!$A149="","",IF(OR('Project Register'!E149="",'Project Register'!F149=""),"",IF('Project Register'!F149&lt;'Project Register'!E149,0,NETWORKDAYS.INTL('Project Register'!E149,'Project Register'!F149,"0000110",Holidays_Leave!$A$3:$A$62))))</f>
        <v/>
      </c>
      <c r="D149" s="15" t="str">
        <f aca="false">IF('Project Register'!$A149="","",('Project Register'!H149&lt;&gt;"")+('Project Register'!J149&lt;&gt;"")+('Project Register'!L149&lt;&gt;""))</f>
        <v/>
      </c>
      <c r="E149" s="16" t="str">
        <f aca="false">IF(OR(C149="",D149="",'Project Register'!G149=""),"",IF(OR(C149=0,D149=0),"",'Project Register'!G149/(C149*D149)))</f>
        <v/>
      </c>
      <c r="F149" s="15" t="str">
        <f aca="false">IF('Project Register'!$A149="","",TRIM(IF(OR('Project Register'!E149="",'Project Register'!F149=""),"Missing date. ","")&amp;IF(AND('Project Register'!E149&lt;&gt;"",'Project Register'!F149&lt;&gt;"",'Project Register'!F149&lt;'Project Register'!E149),"End before start. ","")&amp;IF(NOT(ISNUMBER('Project Register'!G149)),"Effort missing. ","")&amp;IF(D149=0,"No resource. ","")&amp;IF(AND('Project Register'!H149&lt;&gt;"",'Project Register'!I149=""),"Role 1 missing. ","")&amp;IF(AND('Project Register'!J149&lt;&gt;"",'Project Register'!K149=""),"Role 2 missing. ","")&amp;IF(AND('Project Register'!L149&lt;&gt;"",'Project Register'!M149=""),"Role 3 missing. ","")&amp;IF(OR(AND('Project Register'!H149&lt;&gt;"",'Project Register'!H149='Project Register'!J149),AND('Project Register'!H149&lt;&gt;"",'Project Register'!H149='Project Register'!L149),AND('Project Register'!J149&lt;&gt;"",'Project Register'!J149='Project Register'!L149)),"Same person listed twice. ","")&amp;IF(AND('Project Register'!H149&lt;&gt;"",COUNTIF(Resources!$A$2:$A$51,'Project Register'!H149)=0),"Resource 1 not in Resources sheet. ","")&amp;IF(AND('Project Register'!J149&lt;&gt;"",COUNTIF(Resources!$A$2:$A$51,'Project Register'!J149)=0),"Resource 2 not in Resources sheet. ","")&amp;IF(AND('Project Register'!L149&lt;&gt;"",COUNTIF(Resources!$A$2:$A$51,'Project Register'!L149)=0),"Resource 3 not in Resources sheet. ","")&amp;IF('Project Register'!O149="","Test Status missing. ","")&amp;IF(AND(ISNUMBER(E149),E149&gt;1),"This task alone needs over 100% per person. ","")&amp;IF(AND('Project Register'!Q149="Deployed in Live",'Project Register'!R149=""),"Release Date blank (import date will be used). ","")))</f>
        <v/>
      </c>
      <c r="G149" s="17" t="str">
        <f aca="false">IF('Project Register'!$A149="","",IF(F149="","OK","Check"))</f>
        <v/>
      </c>
    </row>
    <row r="150" customFormat="false" ht="15" hidden="false" customHeight="false" outlineLevel="0" collapsed="false">
      <c r="A150" s="15" t="str">
        <f aca="false">IF('Project Register'!$A150="","",ROW('Project Register'!A150))</f>
        <v/>
      </c>
      <c r="B150" s="15" t="str">
        <f aca="false">IF('Project Register'!$A150="","",'Project Register'!B150)</f>
        <v/>
      </c>
      <c r="C150" s="15" t="str">
        <f aca="false">IF('Project Register'!$A150="","",IF(OR('Project Register'!E150="",'Project Register'!F150=""),"",IF('Project Register'!F150&lt;'Project Register'!E150,0,NETWORKDAYS.INTL('Project Register'!E150,'Project Register'!F150,"0000110",Holidays_Leave!$A$3:$A$62))))</f>
        <v/>
      </c>
      <c r="D150" s="15" t="str">
        <f aca="false">IF('Project Register'!$A150="","",('Project Register'!H150&lt;&gt;"")+('Project Register'!J150&lt;&gt;"")+('Project Register'!L150&lt;&gt;""))</f>
        <v/>
      </c>
      <c r="E150" s="16" t="str">
        <f aca="false">IF(OR(C150="",D150="",'Project Register'!G150=""),"",IF(OR(C150=0,D150=0),"",'Project Register'!G150/(C150*D150)))</f>
        <v/>
      </c>
      <c r="F150" s="15" t="str">
        <f aca="false">IF('Project Register'!$A150="","",TRIM(IF(OR('Project Register'!E150="",'Project Register'!F150=""),"Missing date. ","")&amp;IF(AND('Project Register'!E150&lt;&gt;"",'Project Register'!F150&lt;&gt;"",'Project Register'!F150&lt;'Project Register'!E150),"End before start. ","")&amp;IF(NOT(ISNUMBER('Project Register'!G150)),"Effort missing. ","")&amp;IF(D150=0,"No resource. ","")&amp;IF(AND('Project Register'!H150&lt;&gt;"",'Project Register'!I150=""),"Role 1 missing. ","")&amp;IF(AND('Project Register'!J150&lt;&gt;"",'Project Register'!K150=""),"Role 2 missing. ","")&amp;IF(AND('Project Register'!L150&lt;&gt;"",'Project Register'!M150=""),"Role 3 missing. ","")&amp;IF(OR(AND('Project Register'!H150&lt;&gt;"",'Project Register'!H150='Project Register'!J150),AND('Project Register'!H150&lt;&gt;"",'Project Register'!H150='Project Register'!L150),AND('Project Register'!J150&lt;&gt;"",'Project Register'!J150='Project Register'!L150)),"Same person listed twice. ","")&amp;IF(AND('Project Register'!H150&lt;&gt;"",COUNTIF(Resources!$A$2:$A$51,'Project Register'!H150)=0),"Resource 1 not in Resources sheet. ","")&amp;IF(AND('Project Register'!J150&lt;&gt;"",COUNTIF(Resources!$A$2:$A$51,'Project Register'!J150)=0),"Resource 2 not in Resources sheet. ","")&amp;IF(AND('Project Register'!L150&lt;&gt;"",COUNTIF(Resources!$A$2:$A$51,'Project Register'!L150)=0),"Resource 3 not in Resources sheet. ","")&amp;IF('Project Register'!O150="","Test Status missing. ","")&amp;IF(AND(ISNUMBER(E150),E150&gt;1),"This task alone needs over 100% per person. ","")&amp;IF(AND('Project Register'!Q150="Deployed in Live",'Project Register'!R150=""),"Release Date blank (import date will be used). ","")))</f>
        <v/>
      </c>
      <c r="G150" s="17" t="str">
        <f aca="false">IF('Project Register'!$A150="","",IF(F150="","OK","Check"))</f>
        <v/>
      </c>
    </row>
    <row r="151" customFormat="false" ht="15" hidden="false" customHeight="false" outlineLevel="0" collapsed="false">
      <c r="A151" s="15" t="str">
        <f aca="false">IF('Project Register'!$A151="","",ROW('Project Register'!A151))</f>
        <v/>
      </c>
      <c r="B151" s="15" t="str">
        <f aca="false">IF('Project Register'!$A151="","",'Project Register'!B151)</f>
        <v/>
      </c>
      <c r="C151" s="15" t="str">
        <f aca="false">IF('Project Register'!$A151="","",IF(OR('Project Register'!E151="",'Project Register'!F151=""),"",IF('Project Register'!F151&lt;'Project Register'!E151,0,NETWORKDAYS.INTL('Project Register'!E151,'Project Register'!F151,"0000110",Holidays_Leave!$A$3:$A$62))))</f>
        <v/>
      </c>
      <c r="D151" s="15" t="str">
        <f aca="false">IF('Project Register'!$A151="","",('Project Register'!H151&lt;&gt;"")+('Project Register'!J151&lt;&gt;"")+('Project Register'!L151&lt;&gt;""))</f>
        <v/>
      </c>
      <c r="E151" s="16" t="str">
        <f aca="false">IF(OR(C151="",D151="",'Project Register'!G151=""),"",IF(OR(C151=0,D151=0),"",'Project Register'!G151/(C151*D151)))</f>
        <v/>
      </c>
      <c r="F151" s="15" t="str">
        <f aca="false">IF('Project Register'!$A151="","",TRIM(IF(OR('Project Register'!E151="",'Project Register'!F151=""),"Missing date. ","")&amp;IF(AND('Project Register'!E151&lt;&gt;"",'Project Register'!F151&lt;&gt;"",'Project Register'!F151&lt;'Project Register'!E151),"End before start. ","")&amp;IF(NOT(ISNUMBER('Project Register'!G151)),"Effort missing. ","")&amp;IF(D151=0,"No resource. ","")&amp;IF(AND('Project Register'!H151&lt;&gt;"",'Project Register'!I151=""),"Role 1 missing. ","")&amp;IF(AND('Project Register'!J151&lt;&gt;"",'Project Register'!K151=""),"Role 2 missing. ","")&amp;IF(AND('Project Register'!L151&lt;&gt;"",'Project Register'!M151=""),"Role 3 missing. ","")&amp;IF(OR(AND('Project Register'!H151&lt;&gt;"",'Project Register'!H151='Project Register'!J151),AND('Project Register'!H151&lt;&gt;"",'Project Register'!H151='Project Register'!L151),AND('Project Register'!J151&lt;&gt;"",'Project Register'!J151='Project Register'!L151)),"Same person listed twice. ","")&amp;IF(AND('Project Register'!H151&lt;&gt;"",COUNTIF(Resources!$A$2:$A$51,'Project Register'!H151)=0),"Resource 1 not in Resources sheet. ","")&amp;IF(AND('Project Register'!J151&lt;&gt;"",COUNTIF(Resources!$A$2:$A$51,'Project Register'!J151)=0),"Resource 2 not in Resources sheet. ","")&amp;IF(AND('Project Register'!L151&lt;&gt;"",COUNTIF(Resources!$A$2:$A$51,'Project Register'!L151)=0),"Resource 3 not in Resources sheet. ","")&amp;IF('Project Register'!O151="","Test Status missing. ","")&amp;IF(AND(ISNUMBER(E151),E151&gt;1),"This task alone needs over 100% per person. ","")&amp;IF(AND('Project Register'!Q151="Deployed in Live",'Project Register'!R151=""),"Release Date blank (import date will be used). ","")))</f>
        <v/>
      </c>
      <c r="G151" s="17" t="str">
        <f aca="false">IF('Project Register'!$A151="","",IF(F151="","OK","Check"))</f>
        <v/>
      </c>
    </row>
    <row r="152" customFormat="false" ht="15" hidden="false" customHeight="false" outlineLevel="0" collapsed="false">
      <c r="A152" s="15" t="str">
        <f aca="false">IF('Project Register'!$A152="","",ROW('Project Register'!A152))</f>
        <v/>
      </c>
      <c r="B152" s="15" t="str">
        <f aca="false">IF('Project Register'!$A152="","",'Project Register'!B152)</f>
        <v/>
      </c>
      <c r="C152" s="15" t="str">
        <f aca="false">IF('Project Register'!$A152="","",IF(OR('Project Register'!E152="",'Project Register'!F152=""),"",IF('Project Register'!F152&lt;'Project Register'!E152,0,NETWORKDAYS.INTL('Project Register'!E152,'Project Register'!F152,"0000110",Holidays_Leave!$A$3:$A$62))))</f>
        <v/>
      </c>
      <c r="D152" s="15" t="str">
        <f aca="false">IF('Project Register'!$A152="","",('Project Register'!H152&lt;&gt;"")+('Project Register'!J152&lt;&gt;"")+('Project Register'!L152&lt;&gt;""))</f>
        <v/>
      </c>
      <c r="E152" s="16" t="str">
        <f aca="false">IF(OR(C152="",D152="",'Project Register'!G152=""),"",IF(OR(C152=0,D152=0),"",'Project Register'!G152/(C152*D152)))</f>
        <v/>
      </c>
      <c r="F152" s="15" t="str">
        <f aca="false">IF('Project Register'!$A152="","",TRIM(IF(OR('Project Register'!E152="",'Project Register'!F152=""),"Missing date. ","")&amp;IF(AND('Project Register'!E152&lt;&gt;"",'Project Register'!F152&lt;&gt;"",'Project Register'!F152&lt;'Project Register'!E152),"End before start. ","")&amp;IF(NOT(ISNUMBER('Project Register'!G152)),"Effort missing. ","")&amp;IF(D152=0,"No resource. ","")&amp;IF(AND('Project Register'!H152&lt;&gt;"",'Project Register'!I152=""),"Role 1 missing. ","")&amp;IF(AND('Project Register'!J152&lt;&gt;"",'Project Register'!K152=""),"Role 2 missing. ","")&amp;IF(AND('Project Register'!L152&lt;&gt;"",'Project Register'!M152=""),"Role 3 missing. ","")&amp;IF(OR(AND('Project Register'!H152&lt;&gt;"",'Project Register'!H152='Project Register'!J152),AND('Project Register'!H152&lt;&gt;"",'Project Register'!H152='Project Register'!L152),AND('Project Register'!J152&lt;&gt;"",'Project Register'!J152='Project Register'!L152)),"Same person listed twice. ","")&amp;IF(AND('Project Register'!H152&lt;&gt;"",COUNTIF(Resources!$A$2:$A$51,'Project Register'!H152)=0),"Resource 1 not in Resources sheet. ","")&amp;IF(AND('Project Register'!J152&lt;&gt;"",COUNTIF(Resources!$A$2:$A$51,'Project Register'!J152)=0),"Resource 2 not in Resources sheet. ","")&amp;IF(AND('Project Register'!L152&lt;&gt;"",COUNTIF(Resources!$A$2:$A$51,'Project Register'!L152)=0),"Resource 3 not in Resources sheet. ","")&amp;IF('Project Register'!O152="","Test Status missing. ","")&amp;IF(AND(ISNUMBER(E152),E152&gt;1),"This task alone needs over 100% per person. ","")&amp;IF(AND('Project Register'!Q152="Deployed in Live",'Project Register'!R152=""),"Release Date blank (import date will be used). ","")))</f>
        <v/>
      </c>
      <c r="G152" s="17" t="str">
        <f aca="false">IF('Project Register'!$A152="","",IF(F152="","OK","Check"))</f>
        <v/>
      </c>
    </row>
    <row r="153" customFormat="false" ht="15" hidden="false" customHeight="false" outlineLevel="0" collapsed="false">
      <c r="A153" s="15" t="str">
        <f aca="false">IF('Project Register'!$A153="","",ROW('Project Register'!A153))</f>
        <v/>
      </c>
      <c r="B153" s="15" t="str">
        <f aca="false">IF('Project Register'!$A153="","",'Project Register'!B153)</f>
        <v/>
      </c>
      <c r="C153" s="15" t="str">
        <f aca="false">IF('Project Register'!$A153="","",IF(OR('Project Register'!E153="",'Project Register'!F153=""),"",IF('Project Register'!F153&lt;'Project Register'!E153,0,NETWORKDAYS.INTL('Project Register'!E153,'Project Register'!F153,"0000110",Holidays_Leave!$A$3:$A$62))))</f>
        <v/>
      </c>
      <c r="D153" s="15" t="str">
        <f aca="false">IF('Project Register'!$A153="","",('Project Register'!H153&lt;&gt;"")+('Project Register'!J153&lt;&gt;"")+('Project Register'!L153&lt;&gt;""))</f>
        <v/>
      </c>
      <c r="E153" s="16" t="str">
        <f aca="false">IF(OR(C153="",D153="",'Project Register'!G153=""),"",IF(OR(C153=0,D153=0),"",'Project Register'!G153/(C153*D153)))</f>
        <v/>
      </c>
      <c r="F153" s="15" t="str">
        <f aca="false">IF('Project Register'!$A153="","",TRIM(IF(OR('Project Register'!E153="",'Project Register'!F153=""),"Missing date. ","")&amp;IF(AND('Project Register'!E153&lt;&gt;"",'Project Register'!F153&lt;&gt;"",'Project Register'!F153&lt;'Project Register'!E153),"End before start. ","")&amp;IF(NOT(ISNUMBER('Project Register'!G153)),"Effort missing. ","")&amp;IF(D153=0,"No resource. ","")&amp;IF(AND('Project Register'!H153&lt;&gt;"",'Project Register'!I153=""),"Role 1 missing. ","")&amp;IF(AND('Project Register'!J153&lt;&gt;"",'Project Register'!K153=""),"Role 2 missing. ","")&amp;IF(AND('Project Register'!L153&lt;&gt;"",'Project Register'!M153=""),"Role 3 missing. ","")&amp;IF(OR(AND('Project Register'!H153&lt;&gt;"",'Project Register'!H153='Project Register'!J153),AND('Project Register'!H153&lt;&gt;"",'Project Register'!H153='Project Register'!L153),AND('Project Register'!J153&lt;&gt;"",'Project Register'!J153='Project Register'!L153)),"Same person listed twice. ","")&amp;IF(AND('Project Register'!H153&lt;&gt;"",COUNTIF(Resources!$A$2:$A$51,'Project Register'!H153)=0),"Resource 1 not in Resources sheet. ","")&amp;IF(AND('Project Register'!J153&lt;&gt;"",COUNTIF(Resources!$A$2:$A$51,'Project Register'!J153)=0),"Resource 2 not in Resources sheet. ","")&amp;IF(AND('Project Register'!L153&lt;&gt;"",COUNTIF(Resources!$A$2:$A$51,'Project Register'!L153)=0),"Resource 3 not in Resources sheet. ","")&amp;IF('Project Register'!O153="","Test Status missing. ","")&amp;IF(AND(ISNUMBER(E153),E153&gt;1),"This task alone needs over 100% per person. ","")&amp;IF(AND('Project Register'!Q153="Deployed in Live",'Project Register'!R153=""),"Release Date blank (import date will be used). ","")))</f>
        <v/>
      </c>
      <c r="G153" s="17" t="str">
        <f aca="false">IF('Project Register'!$A153="","",IF(F153="","OK","Check"))</f>
        <v/>
      </c>
    </row>
    <row r="154" customFormat="false" ht="15" hidden="false" customHeight="false" outlineLevel="0" collapsed="false">
      <c r="A154" s="15" t="str">
        <f aca="false">IF('Project Register'!$A154="","",ROW('Project Register'!A154))</f>
        <v/>
      </c>
      <c r="B154" s="15" t="str">
        <f aca="false">IF('Project Register'!$A154="","",'Project Register'!B154)</f>
        <v/>
      </c>
      <c r="C154" s="15" t="str">
        <f aca="false">IF('Project Register'!$A154="","",IF(OR('Project Register'!E154="",'Project Register'!F154=""),"",IF('Project Register'!F154&lt;'Project Register'!E154,0,NETWORKDAYS.INTL('Project Register'!E154,'Project Register'!F154,"0000110",Holidays_Leave!$A$3:$A$62))))</f>
        <v/>
      </c>
      <c r="D154" s="15" t="str">
        <f aca="false">IF('Project Register'!$A154="","",('Project Register'!H154&lt;&gt;"")+('Project Register'!J154&lt;&gt;"")+('Project Register'!L154&lt;&gt;""))</f>
        <v/>
      </c>
      <c r="E154" s="16" t="str">
        <f aca="false">IF(OR(C154="",D154="",'Project Register'!G154=""),"",IF(OR(C154=0,D154=0),"",'Project Register'!G154/(C154*D154)))</f>
        <v/>
      </c>
      <c r="F154" s="15" t="str">
        <f aca="false">IF('Project Register'!$A154="","",TRIM(IF(OR('Project Register'!E154="",'Project Register'!F154=""),"Missing date. ","")&amp;IF(AND('Project Register'!E154&lt;&gt;"",'Project Register'!F154&lt;&gt;"",'Project Register'!F154&lt;'Project Register'!E154),"End before start. ","")&amp;IF(NOT(ISNUMBER('Project Register'!G154)),"Effort missing. ","")&amp;IF(D154=0,"No resource. ","")&amp;IF(AND('Project Register'!H154&lt;&gt;"",'Project Register'!I154=""),"Role 1 missing. ","")&amp;IF(AND('Project Register'!J154&lt;&gt;"",'Project Register'!K154=""),"Role 2 missing. ","")&amp;IF(AND('Project Register'!L154&lt;&gt;"",'Project Register'!M154=""),"Role 3 missing. ","")&amp;IF(OR(AND('Project Register'!H154&lt;&gt;"",'Project Register'!H154='Project Register'!J154),AND('Project Register'!H154&lt;&gt;"",'Project Register'!H154='Project Register'!L154),AND('Project Register'!J154&lt;&gt;"",'Project Register'!J154='Project Register'!L154)),"Same person listed twice. ","")&amp;IF(AND('Project Register'!H154&lt;&gt;"",COUNTIF(Resources!$A$2:$A$51,'Project Register'!H154)=0),"Resource 1 not in Resources sheet. ","")&amp;IF(AND('Project Register'!J154&lt;&gt;"",COUNTIF(Resources!$A$2:$A$51,'Project Register'!J154)=0),"Resource 2 not in Resources sheet. ","")&amp;IF(AND('Project Register'!L154&lt;&gt;"",COUNTIF(Resources!$A$2:$A$51,'Project Register'!L154)=0),"Resource 3 not in Resources sheet. ","")&amp;IF('Project Register'!O154="","Test Status missing. ","")&amp;IF(AND(ISNUMBER(E154),E154&gt;1),"This task alone needs over 100% per person. ","")&amp;IF(AND('Project Register'!Q154="Deployed in Live",'Project Register'!R154=""),"Release Date blank (import date will be used). ","")))</f>
        <v/>
      </c>
      <c r="G154" s="17" t="str">
        <f aca="false">IF('Project Register'!$A154="","",IF(F154="","OK","Check"))</f>
        <v/>
      </c>
    </row>
    <row r="155" customFormat="false" ht="15" hidden="false" customHeight="false" outlineLevel="0" collapsed="false">
      <c r="A155" s="15" t="str">
        <f aca="false">IF('Project Register'!$A155="","",ROW('Project Register'!A155))</f>
        <v/>
      </c>
      <c r="B155" s="15" t="str">
        <f aca="false">IF('Project Register'!$A155="","",'Project Register'!B155)</f>
        <v/>
      </c>
      <c r="C155" s="15" t="str">
        <f aca="false">IF('Project Register'!$A155="","",IF(OR('Project Register'!E155="",'Project Register'!F155=""),"",IF('Project Register'!F155&lt;'Project Register'!E155,0,NETWORKDAYS.INTL('Project Register'!E155,'Project Register'!F155,"0000110",Holidays_Leave!$A$3:$A$62))))</f>
        <v/>
      </c>
      <c r="D155" s="15" t="str">
        <f aca="false">IF('Project Register'!$A155="","",('Project Register'!H155&lt;&gt;"")+('Project Register'!J155&lt;&gt;"")+('Project Register'!L155&lt;&gt;""))</f>
        <v/>
      </c>
      <c r="E155" s="16" t="str">
        <f aca="false">IF(OR(C155="",D155="",'Project Register'!G155=""),"",IF(OR(C155=0,D155=0),"",'Project Register'!G155/(C155*D155)))</f>
        <v/>
      </c>
      <c r="F155" s="15" t="str">
        <f aca="false">IF('Project Register'!$A155="","",TRIM(IF(OR('Project Register'!E155="",'Project Register'!F155=""),"Missing date. ","")&amp;IF(AND('Project Register'!E155&lt;&gt;"",'Project Register'!F155&lt;&gt;"",'Project Register'!F155&lt;'Project Register'!E155),"End before start. ","")&amp;IF(NOT(ISNUMBER('Project Register'!G155)),"Effort missing. ","")&amp;IF(D155=0,"No resource. ","")&amp;IF(AND('Project Register'!H155&lt;&gt;"",'Project Register'!I155=""),"Role 1 missing. ","")&amp;IF(AND('Project Register'!J155&lt;&gt;"",'Project Register'!K155=""),"Role 2 missing. ","")&amp;IF(AND('Project Register'!L155&lt;&gt;"",'Project Register'!M155=""),"Role 3 missing. ","")&amp;IF(OR(AND('Project Register'!H155&lt;&gt;"",'Project Register'!H155='Project Register'!J155),AND('Project Register'!H155&lt;&gt;"",'Project Register'!H155='Project Register'!L155),AND('Project Register'!J155&lt;&gt;"",'Project Register'!J155='Project Register'!L155)),"Same person listed twice. ","")&amp;IF(AND('Project Register'!H155&lt;&gt;"",COUNTIF(Resources!$A$2:$A$51,'Project Register'!H155)=0),"Resource 1 not in Resources sheet. ","")&amp;IF(AND('Project Register'!J155&lt;&gt;"",COUNTIF(Resources!$A$2:$A$51,'Project Register'!J155)=0),"Resource 2 not in Resources sheet. ","")&amp;IF(AND('Project Register'!L155&lt;&gt;"",COUNTIF(Resources!$A$2:$A$51,'Project Register'!L155)=0),"Resource 3 not in Resources sheet. ","")&amp;IF('Project Register'!O155="","Test Status missing. ","")&amp;IF(AND(ISNUMBER(E155),E155&gt;1),"This task alone needs over 100% per person. ","")&amp;IF(AND('Project Register'!Q155="Deployed in Live",'Project Register'!R155=""),"Release Date blank (import date will be used). ","")))</f>
        <v/>
      </c>
      <c r="G155" s="17" t="str">
        <f aca="false">IF('Project Register'!$A155="","",IF(F155="","OK","Check"))</f>
        <v/>
      </c>
    </row>
    <row r="156" customFormat="false" ht="15" hidden="false" customHeight="false" outlineLevel="0" collapsed="false">
      <c r="A156" s="15" t="str">
        <f aca="false">IF('Project Register'!$A156="","",ROW('Project Register'!A156))</f>
        <v/>
      </c>
      <c r="B156" s="15" t="str">
        <f aca="false">IF('Project Register'!$A156="","",'Project Register'!B156)</f>
        <v/>
      </c>
      <c r="C156" s="15" t="str">
        <f aca="false">IF('Project Register'!$A156="","",IF(OR('Project Register'!E156="",'Project Register'!F156=""),"",IF('Project Register'!F156&lt;'Project Register'!E156,0,NETWORKDAYS.INTL('Project Register'!E156,'Project Register'!F156,"0000110",Holidays_Leave!$A$3:$A$62))))</f>
        <v/>
      </c>
      <c r="D156" s="15" t="str">
        <f aca="false">IF('Project Register'!$A156="","",('Project Register'!H156&lt;&gt;"")+('Project Register'!J156&lt;&gt;"")+('Project Register'!L156&lt;&gt;""))</f>
        <v/>
      </c>
      <c r="E156" s="16" t="str">
        <f aca="false">IF(OR(C156="",D156="",'Project Register'!G156=""),"",IF(OR(C156=0,D156=0),"",'Project Register'!G156/(C156*D156)))</f>
        <v/>
      </c>
      <c r="F156" s="15" t="str">
        <f aca="false">IF('Project Register'!$A156="","",TRIM(IF(OR('Project Register'!E156="",'Project Register'!F156=""),"Missing date. ","")&amp;IF(AND('Project Register'!E156&lt;&gt;"",'Project Register'!F156&lt;&gt;"",'Project Register'!F156&lt;'Project Register'!E156),"End before start. ","")&amp;IF(NOT(ISNUMBER('Project Register'!G156)),"Effort missing. ","")&amp;IF(D156=0,"No resource. ","")&amp;IF(AND('Project Register'!H156&lt;&gt;"",'Project Register'!I156=""),"Role 1 missing. ","")&amp;IF(AND('Project Register'!J156&lt;&gt;"",'Project Register'!K156=""),"Role 2 missing. ","")&amp;IF(AND('Project Register'!L156&lt;&gt;"",'Project Register'!M156=""),"Role 3 missing. ","")&amp;IF(OR(AND('Project Register'!H156&lt;&gt;"",'Project Register'!H156='Project Register'!J156),AND('Project Register'!H156&lt;&gt;"",'Project Register'!H156='Project Register'!L156),AND('Project Register'!J156&lt;&gt;"",'Project Register'!J156='Project Register'!L156)),"Same person listed twice. ","")&amp;IF(AND('Project Register'!H156&lt;&gt;"",COUNTIF(Resources!$A$2:$A$51,'Project Register'!H156)=0),"Resource 1 not in Resources sheet. ","")&amp;IF(AND('Project Register'!J156&lt;&gt;"",COUNTIF(Resources!$A$2:$A$51,'Project Register'!J156)=0),"Resource 2 not in Resources sheet. ","")&amp;IF(AND('Project Register'!L156&lt;&gt;"",COUNTIF(Resources!$A$2:$A$51,'Project Register'!L156)=0),"Resource 3 not in Resources sheet. ","")&amp;IF('Project Register'!O156="","Test Status missing. ","")&amp;IF(AND(ISNUMBER(E156),E156&gt;1),"This task alone needs over 100% per person. ","")&amp;IF(AND('Project Register'!Q156="Deployed in Live",'Project Register'!R156=""),"Release Date blank (import date will be used). ","")))</f>
        <v/>
      </c>
      <c r="G156" s="17" t="str">
        <f aca="false">IF('Project Register'!$A156="","",IF(F156="","OK","Check"))</f>
        <v/>
      </c>
    </row>
    <row r="157" customFormat="false" ht="15" hidden="false" customHeight="false" outlineLevel="0" collapsed="false">
      <c r="A157" s="15" t="str">
        <f aca="false">IF('Project Register'!$A157="","",ROW('Project Register'!A157))</f>
        <v/>
      </c>
      <c r="B157" s="15" t="str">
        <f aca="false">IF('Project Register'!$A157="","",'Project Register'!B157)</f>
        <v/>
      </c>
      <c r="C157" s="15" t="str">
        <f aca="false">IF('Project Register'!$A157="","",IF(OR('Project Register'!E157="",'Project Register'!F157=""),"",IF('Project Register'!F157&lt;'Project Register'!E157,0,NETWORKDAYS.INTL('Project Register'!E157,'Project Register'!F157,"0000110",Holidays_Leave!$A$3:$A$62))))</f>
        <v/>
      </c>
      <c r="D157" s="15" t="str">
        <f aca="false">IF('Project Register'!$A157="","",('Project Register'!H157&lt;&gt;"")+('Project Register'!J157&lt;&gt;"")+('Project Register'!L157&lt;&gt;""))</f>
        <v/>
      </c>
      <c r="E157" s="16" t="str">
        <f aca="false">IF(OR(C157="",D157="",'Project Register'!G157=""),"",IF(OR(C157=0,D157=0),"",'Project Register'!G157/(C157*D157)))</f>
        <v/>
      </c>
      <c r="F157" s="15" t="str">
        <f aca="false">IF('Project Register'!$A157="","",TRIM(IF(OR('Project Register'!E157="",'Project Register'!F157=""),"Missing date. ","")&amp;IF(AND('Project Register'!E157&lt;&gt;"",'Project Register'!F157&lt;&gt;"",'Project Register'!F157&lt;'Project Register'!E157),"End before start. ","")&amp;IF(NOT(ISNUMBER('Project Register'!G157)),"Effort missing. ","")&amp;IF(D157=0,"No resource. ","")&amp;IF(AND('Project Register'!H157&lt;&gt;"",'Project Register'!I157=""),"Role 1 missing. ","")&amp;IF(AND('Project Register'!J157&lt;&gt;"",'Project Register'!K157=""),"Role 2 missing. ","")&amp;IF(AND('Project Register'!L157&lt;&gt;"",'Project Register'!M157=""),"Role 3 missing. ","")&amp;IF(OR(AND('Project Register'!H157&lt;&gt;"",'Project Register'!H157='Project Register'!J157),AND('Project Register'!H157&lt;&gt;"",'Project Register'!H157='Project Register'!L157),AND('Project Register'!J157&lt;&gt;"",'Project Register'!J157='Project Register'!L157)),"Same person listed twice. ","")&amp;IF(AND('Project Register'!H157&lt;&gt;"",COUNTIF(Resources!$A$2:$A$51,'Project Register'!H157)=0),"Resource 1 not in Resources sheet. ","")&amp;IF(AND('Project Register'!J157&lt;&gt;"",COUNTIF(Resources!$A$2:$A$51,'Project Register'!J157)=0),"Resource 2 not in Resources sheet. ","")&amp;IF(AND('Project Register'!L157&lt;&gt;"",COUNTIF(Resources!$A$2:$A$51,'Project Register'!L157)=0),"Resource 3 not in Resources sheet. ","")&amp;IF('Project Register'!O157="","Test Status missing. ","")&amp;IF(AND(ISNUMBER(E157),E157&gt;1),"This task alone needs over 100% per person. ","")&amp;IF(AND('Project Register'!Q157="Deployed in Live",'Project Register'!R157=""),"Release Date blank (import date will be used). ","")))</f>
        <v/>
      </c>
      <c r="G157" s="17" t="str">
        <f aca="false">IF('Project Register'!$A157="","",IF(F157="","OK","Check"))</f>
        <v/>
      </c>
    </row>
    <row r="158" customFormat="false" ht="15" hidden="false" customHeight="false" outlineLevel="0" collapsed="false">
      <c r="A158" s="15" t="str">
        <f aca="false">IF('Project Register'!$A158="","",ROW('Project Register'!A158))</f>
        <v/>
      </c>
      <c r="B158" s="15" t="str">
        <f aca="false">IF('Project Register'!$A158="","",'Project Register'!B158)</f>
        <v/>
      </c>
      <c r="C158" s="15" t="str">
        <f aca="false">IF('Project Register'!$A158="","",IF(OR('Project Register'!E158="",'Project Register'!F158=""),"",IF('Project Register'!F158&lt;'Project Register'!E158,0,NETWORKDAYS.INTL('Project Register'!E158,'Project Register'!F158,"0000110",Holidays_Leave!$A$3:$A$62))))</f>
        <v/>
      </c>
      <c r="D158" s="15" t="str">
        <f aca="false">IF('Project Register'!$A158="","",('Project Register'!H158&lt;&gt;"")+('Project Register'!J158&lt;&gt;"")+('Project Register'!L158&lt;&gt;""))</f>
        <v/>
      </c>
      <c r="E158" s="16" t="str">
        <f aca="false">IF(OR(C158="",D158="",'Project Register'!G158=""),"",IF(OR(C158=0,D158=0),"",'Project Register'!G158/(C158*D158)))</f>
        <v/>
      </c>
      <c r="F158" s="15" t="str">
        <f aca="false">IF('Project Register'!$A158="","",TRIM(IF(OR('Project Register'!E158="",'Project Register'!F158=""),"Missing date. ","")&amp;IF(AND('Project Register'!E158&lt;&gt;"",'Project Register'!F158&lt;&gt;"",'Project Register'!F158&lt;'Project Register'!E158),"End before start. ","")&amp;IF(NOT(ISNUMBER('Project Register'!G158)),"Effort missing. ","")&amp;IF(D158=0,"No resource. ","")&amp;IF(AND('Project Register'!H158&lt;&gt;"",'Project Register'!I158=""),"Role 1 missing. ","")&amp;IF(AND('Project Register'!J158&lt;&gt;"",'Project Register'!K158=""),"Role 2 missing. ","")&amp;IF(AND('Project Register'!L158&lt;&gt;"",'Project Register'!M158=""),"Role 3 missing. ","")&amp;IF(OR(AND('Project Register'!H158&lt;&gt;"",'Project Register'!H158='Project Register'!J158),AND('Project Register'!H158&lt;&gt;"",'Project Register'!H158='Project Register'!L158),AND('Project Register'!J158&lt;&gt;"",'Project Register'!J158='Project Register'!L158)),"Same person listed twice. ","")&amp;IF(AND('Project Register'!H158&lt;&gt;"",COUNTIF(Resources!$A$2:$A$51,'Project Register'!H158)=0),"Resource 1 not in Resources sheet. ","")&amp;IF(AND('Project Register'!J158&lt;&gt;"",COUNTIF(Resources!$A$2:$A$51,'Project Register'!J158)=0),"Resource 2 not in Resources sheet. ","")&amp;IF(AND('Project Register'!L158&lt;&gt;"",COUNTIF(Resources!$A$2:$A$51,'Project Register'!L158)=0),"Resource 3 not in Resources sheet. ","")&amp;IF('Project Register'!O158="","Test Status missing. ","")&amp;IF(AND(ISNUMBER(E158),E158&gt;1),"This task alone needs over 100% per person. ","")&amp;IF(AND('Project Register'!Q158="Deployed in Live",'Project Register'!R158=""),"Release Date blank (import date will be used). ","")))</f>
        <v/>
      </c>
      <c r="G158" s="17" t="str">
        <f aca="false">IF('Project Register'!$A158="","",IF(F158="","OK","Check"))</f>
        <v/>
      </c>
    </row>
    <row r="159" customFormat="false" ht="15" hidden="false" customHeight="false" outlineLevel="0" collapsed="false">
      <c r="A159" s="15" t="str">
        <f aca="false">IF('Project Register'!$A159="","",ROW('Project Register'!A159))</f>
        <v/>
      </c>
      <c r="B159" s="15" t="str">
        <f aca="false">IF('Project Register'!$A159="","",'Project Register'!B159)</f>
        <v/>
      </c>
      <c r="C159" s="15" t="str">
        <f aca="false">IF('Project Register'!$A159="","",IF(OR('Project Register'!E159="",'Project Register'!F159=""),"",IF('Project Register'!F159&lt;'Project Register'!E159,0,NETWORKDAYS.INTL('Project Register'!E159,'Project Register'!F159,"0000110",Holidays_Leave!$A$3:$A$62))))</f>
        <v/>
      </c>
      <c r="D159" s="15" t="str">
        <f aca="false">IF('Project Register'!$A159="","",('Project Register'!H159&lt;&gt;"")+('Project Register'!J159&lt;&gt;"")+('Project Register'!L159&lt;&gt;""))</f>
        <v/>
      </c>
      <c r="E159" s="16" t="str">
        <f aca="false">IF(OR(C159="",D159="",'Project Register'!G159=""),"",IF(OR(C159=0,D159=0),"",'Project Register'!G159/(C159*D159)))</f>
        <v/>
      </c>
      <c r="F159" s="15" t="str">
        <f aca="false">IF('Project Register'!$A159="","",TRIM(IF(OR('Project Register'!E159="",'Project Register'!F159=""),"Missing date. ","")&amp;IF(AND('Project Register'!E159&lt;&gt;"",'Project Register'!F159&lt;&gt;"",'Project Register'!F159&lt;'Project Register'!E159),"End before start. ","")&amp;IF(NOT(ISNUMBER('Project Register'!G159)),"Effort missing. ","")&amp;IF(D159=0,"No resource. ","")&amp;IF(AND('Project Register'!H159&lt;&gt;"",'Project Register'!I159=""),"Role 1 missing. ","")&amp;IF(AND('Project Register'!J159&lt;&gt;"",'Project Register'!K159=""),"Role 2 missing. ","")&amp;IF(AND('Project Register'!L159&lt;&gt;"",'Project Register'!M159=""),"Role 3 missing. ","")&amp;IF(OR(AND('Project Register'!H159&lt;&gt;"",'Project Register'!H159='Project Register'!J159),AND('Project Register'!H159&lt;&gt;"",'Project Register'!H159='Project Register'!L159),AND('Project Register'!J159&lt;&gt;"",'Project Register'!J159='Project Register'!L159)),"Same person listed twice. ","")&amp;IF(AND('Project Register'!H159&lt;&gt;"",COUNTIF(Resources!$A$2:$A$51,'Project Register'!H159)=0),"Resource 1 not in Resources sheet. ","")&amp;IF(AND('Project Register'!J159&lt;&gt;"",COUNTIF(Resources!$A$2:$A$51,'Project Register'!J159)=0),"Resource 2 not in Resources sheet. ","")&amp;IF(AND('Project Register'!L159&lt;&gt;"",COUNTIF(Resources!$A$2:$A$51,'Project Register'!L159)=0),"Resource 3 not in Resources sheet. ","")&amp;IF('Project Register'!O159="","Test Status missing. ","")&amp;IF(AND(ISNUMBER(E159),E159&gt;1),"This task alone needs over 100% per person. ","")&amp;IF(AND('Project Register'!Q159="Deployed in Live",'Project Register'!R159=""),"Release Date blank (import date will be used). ","")))</f>
        <v/>
      </c>
      <c r="G159" s="17" t="str">
        <f aca="false">IF('Project Register'!$A159="","",IF(F159="","OK","Check"))</f>
        <v/>
      </c>
    </row>
    <row r="160" customFormat="false" ht="15" hidden="false" customHeight="false" outlineLevel="0" collapsed="false">
      <c r="A160" s="15" t="str">
        <f aca="false">IF('Project Register'!$A160="","",ROW('Project Register'!A160))</f>
        <v/>
      </c>
      <c r="B160" s="15" t="str">
        <f aca="false">IF('Project Register'!$A160="","",'Project Register'!B160)</f>
        <v/>
      </c>
      <c r="C160" s="15" t="str">
        <f aca="false">IF('Project Register'!$A160="","",IF(OR('Project Register'!E160="",'Project Register'!F160=""),"",IF('Project Register'!F160&lt;'Project Register'!E160,0,NETWORKDAYS.INTL('Project Register'!E160,'Project Register'!F160,"0000110",Holidays_Leave!$A$3:$A$62))))</f>
        <v/>
      </c>
      <c r="D160" s="15" t="str">
        <f aca="false">IF('Project Register'!$A160="","",('Project Register'!H160&lt;&gt;"")+('Project Register'!J160&lt;&gt;"")+('Project Register'!L160&lt;&gt;""))</f>
        <v/>
      </c>
      <c r="E160" s="16" t="str">
        <f aca="false">IF(OR(C160="",D160="",'Project Register'!G160=""),"",IF(OR(C160=0,D160=0),"",'Project Register'!G160/(C160*D160)))</f>
        <v/>
      </c>
      <c r="F160" s="15" t="str">
        <f aca="false">IF('Project Register'!$A160="","",TRIM(IF(OR('Project Register'!E160="",'Project Register'!F160=""),"Missing date. ","")&amp;IF(AND('Project Register'!E160&lt;&gt;"",'Project Register'!F160&lt;&gt;"",'Project Register'!F160&lt;'Project Register'!E160),"End before start. ","")&amp;IF(NOT(ISNUMBER('Project Register'!G160)),"Effort missing. ","")&amp;IF(D160=0,"No resource. ","")&amp;IF(AND('Project Register'!H160&lt;&gt;"",'Project Register'!I160=""),"Role 1 missing. ","")&amp;IF(AND('Project Register'!J160&lt;&gt;"",'Project Register'!K160=""),"Role 2 missing. ","")&amp;IF(AND('Project Register'!L160&lt;&gt;"",'Project Register'!M160=""),"Role 3 missing. ","")&amp;IF(OR(AND('Project Register'!H160&lt;&gt;"",'Project Register'!H160='Project Register'!J160),AND('Project Register'!H160&lt;&gt;"",'Project Register'!H160='Project Register'!L160),AND('Project Register'!J160&lt;&gt;"",'Project Register'!J160='Project Register'!L160)),"Same person listed twice. ","")&amp;IF(AND('Project Register'!H160&lt;&gt;"",COUNTIF(Resources!$A$2:$A$51,'Project Register'!H160)=0),"Resource 1 not in Resources sheet. ","")&amp;IF(AND('Project Register'!J160&lt;&gt;"",COUNTIF(Resources!$A$2:$A$51,'Project Register'!J160)=0),"Resource 2 not in Resources sheet. ","")&amp;IF(AND('Project Register'!L160&lt;&gt;"",COUNTIF(Resources!$A$2:$A$51,'Project Register'!L160)=0),"Resource 3 not in Resources sheet. ","")&amp;IF('Project Register'!O160="","Test Status missing. ","")&amp;IF(AND(ISNUMBER(E160),E160&gt;1),"This task alone needs over 100% per person. ","")&amp;IF(AND('Project Register'!Q160="Deployed in Live",'Project Register'!R160=""),"Release Date blank (import date will be used). ","")))</f>
        <v/>
      </c>
      <c r="G160" s="17" t="str">
        <f aca="false">IF('Project Register'!$A160="","",IF(F160="","OK","Check"))</f>
        <v/>
      </c>
    </row>
    <row r="161" customFormat="false" ht="15" hidden="false" customHeight="false" outlineLevel="0" collapsed="false">
      <c r="A161" s="15" t="str">
        <f aca="false">IF('Project Register'!$A161="","",ROW('Project Register'!A161))</f>
        <v/>
      </c>
      <c r="B161" s="15" t="str">
        <f aca="false">IF('Project Register'!$A161="","",'Project Register'!B161)</f>
        <v/>
      </c>
      <c r="C161" s="15" t="str">
        <f aca="false">IF('Project Register'!$A161="","",IF(OR('Project Register'!E161="",'Project Register'!F161=""),"",IF('Project Register'!F161&lt;'Project Register'!E161,0,NETWORKDAYS.INTL('Project Register'!E161,'Project Register'!F161,"0000110",Holidays_Leave!$A$3:$A$62))))</f>
        <v/>
      </c>
      <c r="D161" s="15" t="str">
        <f aca="false">IF('Project Register'!$A161="","",('Project Register'!H161&lt;&gt;"")+('Project Register'!J161&lt;&gt;"")+('Project Register'!L161&lt;&gt;""))</f>
        <v/>
      </c>
      <c r="E161" s="16" t="str">
        <f aca="false">IF(OR(C161="",D161="",'Project Register'!G161=""),"",IF(OR(C161=0,D161=0),"",'Project Register'!G161/(C161*D161)))</f>
        <v/>
      </c>
      <c r="F161" s="15" t="str">
        <f aca="false">IF('Project Register'!$A161="","",TRIM(IF(OR('Project Register'!E161="",'Project Register'!F161=""),"Missing date. ","")&amp;IF(AND('Project Register'!E161&lt;&gt;"",'Project Register'!F161&lt;&gt;"",'Project Register'!F161&lt;'Project Register'!E161),"End before start. ","")&amp;IF(NOT(ISNUMBER('Project Register'!G161)),"Effort missing. ","")&amp;IF(D161=0,"No resource. ","")&amp;IF(AND('Project Register'!H161&lt;&gt;"",'Project Register'!I161=""),"Role 1 missing. ","")&amp;IF(AND('Project Register'!J161&lt;&gt;"",'Project Register'!K161=""),"Role 2 missing. ","")&amp;IF(AND('Project Register'!L161&lt;&gt;"",'Project Register'!M161=""),"Role 3 missing. ","")&amp;IF(OR(AND('Project Register'!H161&lt;&gt;"",'Project Register'!H161='Project Register'!J161),AND('Project Register'!H161&lt;&gt;"",'Project Register'!H161='Project Register'!L161),AND('Project Register'!J161&lt;&gt;"",'Project Register'!J161='Project Register'!L161)),"Same person listed twice. ","")&amp;IF(AND('Project Register'!H161&lt;&gt;"",COUNTIF(Resources!$A$2:$A$51,'Project Register'!H161)=0),"Resource 1 not in Resources sheet. ","")&amp;IF(AND('Project Register'!J161&lt;&gt;"",COUNTIF(Resources!$A$2:$A$51,'Project Register'!J161)=0),"Resource 2 not in Resources sheet. ","")&amp;IF(AND('Project Register'!L161&lt;&gt;"",COUNTIF(Resources!$A$2:$A$51,'Project Register'!L161)=0),"Resource 3 not in Resources sheet. ","")&amp;IF('Project Register'!O161="","Test Status missing. ","")&amp;IF(AND(ISNUMBER(E161),E161&gt;1),"This task alone needs over 100% per person. ","")&amp;IF(AND('Project Register'!Q161="Deployed in Live",'Project Register'!R161=""),"Release Date blank (import date will be used). ","")))</f>
        <v/>
      </c>
      <c r="G161" s="17" t="str">
        <f aca="false">IF('Project Register'!$A161="","",IF(F161="","OK","Check"))</f>
        <v/>
      </c>
    </row>
    <row r="162" customFormat="false" ht="15" hidden="false" customHeight="false" outlineLevel="0" collapsed="false">
      <c r="A162" s="15" t="str">
        <f aca="false">IF('Project Register'!$A162="","",ROW('Project Register'!A162))</f>
        <v/>
      </c>
      <c r="B162" s="15" t="str">
        <f aca="false">IF('Project Register'!$A162="","",'Project Register'!B162)</f>
        <v/>
      </c>
      <c r="C162" s="15" t="str">
        <f aca="false">IF('Project Register'!$A162="","",IF(OR('Project Register'!E162="",'Project Register'!F162=""),"",IF('Project Register'!F162&lt;'Project Register'!E162,0,NETWORKDAYS.INTL('Project Register'!E162,'Project Register'!F162,"0000110",Holidays_Leave!$A$3:$A$62))))</f>
        <v/>
      </c>
      <c r="D162" s="15" t="str">
        <f aca="false">IF('Project Register'!$A162="","",('Project Register'!H162&lt;&gt;"")+('Project Register'!J162&lt;&gt;"")+('Project Register'!L162&lt;&gt;""))</f>
        <v/>
      </c>
      <c r="E162" s="16" t="str">
        <f aca="false">IF(OR(C162="",D162="",'Project Register'!G162=""),"",IF(OR(C162=0,D162=0),"",'Project Register'!G162/(C162*D162)))</f>
        <v/>
      </c>
      <c r="F162" s="15" t="str">
        <f aca="false">IF('Project Register'!$A162="","",TRIM(IF(OR('Project Register'!E162="",'Project Register'!F162=""),"Missing date. ","")&amp;IF(AND('Project Register'!E162&lt;&gt;"",'Project Register'!F162&lt;&gt;"",'Project Register'!F162&lt;'Project Register'!E162),"End before start. ","")&amp;IF(NOT(ISNUMBER('Project Register'!G162)),"Effort missing. ","")&amp;IF(D162=0,"No resource. ","")&amp;IF(AND('Project Register'!H162&lt;&gt;"",'Project Register'!I162=""),"Role 1 missing. ","")&amp;IF(AND('Project Register'!J162&lt;&gt;"",'Project Register'!K162=""),"Role 2 missing. ","")&amp;IF(AND('Project Register'!L162&lt;&gt;"",'Project Register'!M162=""),"Role 3 missing. ","")&amp;IF(OR(AND('Project Register'!H162&lt;&gt;"",'Project Register'!H162='Project Register'!J162),AND('Project Register'!H162&lt;&gt;"",'Project Register'!H162='Project Register'!L162),AND('Project Register'!J162&lt;&gt;"",'Project Register'!J162='Project Register'!L162)),"Same person listed twice. ","")&amp;IF(AND('Project Register'!H162&lt;&gt;"",COUNTIF(Resources!$A$2:$A$51,'Project Register'!H162)=0),"Resource 1 not in Resources sheet. ","")&amp;IF(AND('Project Register'!J162&lt;&gt;"",COUNTIF(Resources!$A$2:$A$51,'Project Register'!J162)=0),"Resource 2 not in Resources sheet. ","")&amp;IF(AND('Project Register'!L162&lt;&gt;"",COUNTIF(Resources!$A$2:$A$51,'Project Register'!L162)=0),"Resource 3 not in Resources sheet. ","")&amp;IF('Project Register'!O162="","Test Status missing. ","")&amp;IF(AND(ISNUMBER(E162),E162&gt;1),"This task alone needs over 100% per person. ","")&amp;IF(AND('Project Register'!Q162="Deployed in Live",'Project Register'!R162=""),"Release Date blank (import date will be used). ","")))</f>
        <v/>
      </c>
      <c r="G162" s="17" t="str">
        <f aca="false">IF('Project Register'!$A162="","",IF(F162="","OK","Check"))</f>
        <v/>
      </c>
    </row>
    <row r="163" customFormat="false" ht="15" hidden="false" customHeight="false" outlineLevel="0" collapsed="false">
      <c r="A163" s="15" t="str">
        <f aca="false">IF('Project Register'!$A163="","",ROW('Project Register'!A163))</f>
        <v/>
      </c>
      <c r="B163" s="15" t="str">
        <f aca="false">IF('Project Register'!$A163="","",'Project Register'!B163)</f>
        <v/>
      </c>
      <c r="C163" s="15" t="str">
        <f aca="false">IF('Project Register'!$A163="","",IF(OR('Project Register'!E163="",'Project Register'!F163=""),"",IF('Project Register'!F163&lt;'Project Register'!E163,0,NETWORKDAYS.INTL('Project Register'!E163,'Project Register'!F163,"0000110",Holidays_Leave!$A$3:$A$62))))</f>
        <v/>
      </c>
      <c r="D163" s="15" t="str">
        <f aca="false">IF('Project Register'!$A163="","",('Project Register'!H163&lt;&gt;"")+('Project Register'!J163&lt;&gt;"")+('Project Register'!L163&lt;&gt;""))</f>
        <v/>
      </c>
      <c r="E163" s="16" t="str">
        <f aca="false">IF(OR(C163="",D163="",'Project Register'!G163=""),"",IF(OR(C163=0,D163=0),"",'Project Register'!G163/(C163*D163)))</f>
        <v/>
      </c>
      <c r="F163" s="15" t="str">
        <f aca="false">IF('Project Register'!$A163="","",TRIM(IF(OR('Project Register'!E163="",'Project Register'!F163=""),"Missing date. ","")&amp;IF(AND('Project Register'!E163&lt;&gt;"",'Project Register'!F163&lt;&gt;"",'Project Register'!F163&lt;'Project Register'!E163),"End before start. ","")&amp;IF(NOT(ISNUMBER('Project Register'!G163)),"Effort missing. ","")&amp;IF(D163=0,"No resource. ","")&amp;IF(AND('Project Register'!H163&lt;&gt;"",'Project Register'!I163=""),"Role 1 missing. ","")&amp;IF(AND('Project Register'!J163&lt;&gt;"",'Project Register'!K163=""),"Role 2 missing. ","")&amp;IF(AND('Project Register'!L163&lt;&gt;"",'Project Register'!M163=""),"Role 3 missing. ","")&amp;IF(OR(AND('Project Register'!H163&lt;&gt;"",'Project Register'!H163='Project Register'!J163),AND('Project Register'!H163&lt;&gt;"",'Project Register'!H163='Project Register'!L163),AND('Project Register'!J163&lt;&gt;"",'Project Register'!J163='Project Register'!L163)),"Same person listed twice. ","")&amp;IF(AND('Project Register'!H163&lt;&gt;"",COUNTIF(Resources!$A$2:$A$51,'Project Register'!H163)=0),"Resource 1 not in Resources sheet. ","")&amp;IF(AND('Project Register'!J163&lt;&gt;"",COUNTIF(Resources!$A$2:$A$51,'Project Register'!J163)=0),"Resource 2 not in Resources sheet. ","")&amp;IF(AND('Project Register'!L163&lt;&gt;"",COUNTIF(Resources!$A$2:$A$51,'Project Register'!L163)=0),"Resource 3 not in Resources sheet. ","")&amp;IF('Project Register'!O163="","Test Status missing. ","")&amp;IF(AND(ISNUMBER(E163),E163&gt;1),"This task alone needs over 100% per person. ","")&amp;IF(AND('Project Register'!Q163="Deployed in Live",'Project Register'!R163=""),"Release Date blank (import date will be used). ","")))</f>
        <v/>
      </c>
      <c r="G163" s="17" t="str">
        <f aca="false">IF('Project Register'!$A163="","",IF(F163="","OK","Check"))</f>
        <v/>
      </c>
    </row>
    <row r="164" customFormat="false" ht="15" hidden="false" customHeight="false" outlineLevel="0" collapsed="false">
      <c r="A164" s="15" t="str">
        <f aca="false">IF('Project Register'!$A164="","",ROW('Project Register'!A164))</f>
        <v/>
      </c>
      <c r="B164" s="15" t="str">
        <f aca="false">IF('Project Register'!$A164="","",'Project Register'!B164)</f>
        <v/>
      </c>
      <c r="C164" s="15" t="str">
        <f aca="false">IF('Project Register'!$A164="","",IF(OR('Project Register'!E164="",'Project Register'!F164=""),"",IF('Project Register'!F164&lt;'Project Register'!E164,0,NETWORKDAYS.INTL('Project Register'!E164,'Project Register'!F164,"0000110",Holidays_Leave!$A$3:$A$62))))</f>
        <v/>
      </c>
      <c r="D164" s="15" t="str">
        <f aca="false">IF('Project Register'!$A164="","",('Project Register'!H164&lt;&gt;"")+('Project Register'!J164&lt;&gt;"")+('Project Register'!L164&lt;&gt;""))</f>
        <v/>
      </c>
      <c r="E164" s="16" t="str">
        <f aca="false">IF(OR(C164="",D164="",'Project Register'!G164=""),"",IF(OR(C164=0,D164=0),"",'Project Register'!G164/(C164*D164)))</f>
        <v/>
      </c>
      <c r="F164" s="15" t="str">
        <f aca="false">IF('Project Register'!$A164="","",TRIM(IF(OR('Project Register'!E164="",'Project Register'!F164=""),"Missing date. ","")&amp;IF(AND('Project Register'!E164&lt;&gt;"",'Project Register'!F164&lt;&gt;"",'Project Register'!F164&lt;'Project Register'!E164),"End before start. ","")&amp;IF(NOT(ISNUMBER('Project Register'!G164)),"Effort missing. ","")&amp;IF(D164=0,"No resource. ","")&amp;IF(AND('Project Register'!H164&lt;&gt;"",'Project Register'!I164=""),"Role 1 missing. ","")&amp;IF(AND('Project Register'!J164&lt;&gt;"",'Project Register'!K164=""),"Role 2 missing. ","")&amp;IF(AND('Project Register'!L164&lt;&gt;"",'Project Register'!M164=""),"Role 3 missing. ","")&amp;IF(OR(AND('Project Register'!H164&lt;&gt;"",'Project Register'!H164='Project Register'!J164),AND('Project Register'!H164&lt;&gt;"",'Project Register'!H164='Project Register'!L164),AND('Project Register'!J164&lt;&gt;"",'Project Register'!J164='Project Register'!L164)),"Same person listed twice. ","")&amp;IF(AND('Project Register'!H164&lt;&gt;"",COUNTIF(Resources!$A$2:$A$51,'Project Register'!H164)=0),"Resource 1 not in Resources sheet. ","")&amp;IF(AND('Project Register'!J164&lt;&gt;"",COUNTIF(Resources!$A$2:$A$51,'Project Register'!J164)=0),"Resource 2 not in Resources sheet. ","")&amp;IF(AND('Project Register'!L164&lt;&gt;"",COUNTIF(Resources!$A$2:$A$51,'Project Register'!L164)=0),"Resource 3 not in Resources sheet. ","")&amp;IF('Project Register'!O164="","Test Status missing. ","")&amp;IF(AND(ISNUMBER(E164),E164&gt;1),"This task alone needs over 100% per person. ","")&amp;IF(AND('Project Register'!Q164="Deployed in Live",'Project Register'!R164=""),"Release Date blank (import date will be used). ","")))</f>
        <v/>
      </c>
      <c r="G164" s="17" t="str">
        <f aca="false">IF('Project Register'!$A164="","",IF(F164="","OK","Check"))</f>
        <v/>
      </c>
    </row>
    <row r="165" customFormat="false" ht="15" hidden="false" customHeight="false" outlineLevel="0" collapsed="false">
      <c r="A165" s="15" t="str">
        <f aca="false">IF('Project Register'!$A165="","",ROW('Project Register'!A165))</f>
        <v/>
      </c>
      <c r="B165" s="15" t="str">
        <f aca="false">IF('Project Register'!$A165="","",'Project Register'!B165)</f>
        <v/>
      </c>
      <c r="C165" s="15" t="str">
        <f aca="false">IF('Project Register'!$A165="","",IF(OR('Project Register'!E165="",'Project Register'!F165=""),"",IF('Project Register'!F165&lt;'Project Register'!E165,0,NETWORKDAYS.INTL('Project Register'!E165,'Project Register'!F165,"0000110",Holidays_Leave!$A$3:$A$62))))</f>
        <v/>
      </c>
      <c r="D165" s="15" t="str">
        <f aca="false">IF('Project Register'!$A165="","",('Project Register'!H165&lt;&gt;"")+('Project Register'!J165&lt;&gt;"")+('Project Register'!L165&lt;&gt;""))</f>
        <v/>
      </c>
      <c r="E165" s="16" t="str">
        <f aca="false">IF(OR(C165="",D165="",'Project Register'!G165=""),"",IF(OR(C165=0,D165=0),"",'Project Register'!G165/(C165*D165)))</f>
        <v/>
      </c>
      <c r="F165" s="15" t="str">
        <f aca="false">IF('Project Register'!$A165="","",TRIM(IF(OR('Project Register'!E165="",'Project Register'!F165=""),"Missing date. ","")&amp;IF(AND('Project Register'!E165&lt;&gt;"",'Project Register'!F165&lt;&gt;"",'Project Register'!F165&lt;'Project Register'!E165),"End before start. ","")&amp;IF(NOT(ISNUMBER('Project Register'!G165)),"Effort missing. ","")&amp;IF(D165=0,"No resource. ","")&amp;IF(AND('Project Register'!H165&lt;&gt;"",'Project Register'!I165=""),"Role 1 missing. ","")&amp;IF(AND('Project Register'!J165&lt;&gt;"",'Project Register'!K165=""),"Role 2 missing. ","")&amp;IF(AND('Project Register'!L165&lt;&gt;"",'Project Register'!M165=""),"Role 3 missing. ","")&amp;IF(OR(AND('Project Register'!H165&lt;&gt;"",'Project Register'!H165='Project Register'!J165),AND('Project Register'!H165&lt;&gt;"",'Project Register'!H165='Project Register'!L165),AND('Project Register'!J165&lt;&gt;"",'Project Register'!J165='Project Register'!L165)),"Same person listed twice. ","")&amp;IF(AND('Project Register'!H165&lt;&gt;"",COUNTIF(Resources!$A$2:$A$51,'Project Register'!H165)=0),"Resource 1 not in Resources sheet. ","")&amp;IF(AND('Project Register'!J165&lt;&gt;"",COUNTIF(Resources!$A$2:$A$51,'Project Register'!J165)=0),"Resource 2 not in Resources sheet. ","")&amp;IF(AND('Project Register'!L165&lt;&gt;"",COUNTIF(Resources!$A$2:$A$51,'Project Register'!L165)=0),"Resource 3 not in Resources sheet. ","")&amp;IF('Project Register'!O165="","Test Status missing. ","")&amp;IF(AND(ISNUMBER(E165),E165&gt;1),"This task alone needs over 100% per person. ","")&amp;IF(AND('Project Register'!Q165="Deployed in Live",'Project Register'!R165=""),"Release Date blank (import date will be used). ","")))</f>
        <v/>
      </c>
      <c r="G165" s="17" t="str">
        <f aca="false">IF('Project Register'!$A165="","",IF(F165="","OK","Check"))</f>
        <v/>
      </c>
    </row>
    <row r="166" customFormat="false" ht="15" hidden="false" customHeight="false" outlineLevel="0" collapsed="false">
      <c r="A166" s="15" t="str">
        <f aca="false">IF('Project Register'!$A166="","",ROW('Project Register'!A166))</f>
        <v/>
      </c>
      <c r="B166" s="15" t="str">
        <f aca="false">IF('Project Register'!$A166="","",'Project Register'!B166)</f>
        <v/>
      </c>
      <c r="C166" s="15" t="str">
        <f aca="false">IF('Project Register'!$A166="","",IF(OR('Project Register'!E166="",'Project Register'!F166=""),"",IF('Project Register'!F166&lt;'Project Register'!E166,0,NETWORKDAYS.INTL('Project Register'!E166,'Project Register'!F166,"0000110",Holidays_Leave!$A$3:$A$62))))</f>
        <v/>
      </c>
      <c r="D166" s="15" t="str">
        <f aca="false">IF('Project Register'!$A166="","",('Project Register'!H166&lt;&gt;"")+('Project Register'!J166&lt;&gt;"")+('Project Register'!L166&lt;&gt;""))</f>
        <v/>
      </c>
      <c r="E166" s="16" t="str">
        <f aca="false">IF(OR(C166="",D166="",'Project Register'!G166=""),"",IF(OR(C166=0,D166=0),"",'Project Register'!G166/(C166*D166)))</f>
        <v/>
      </c>
      <c r="F166" s="15" t="str">
        <f aca="false">IF('Project Register'!$A166="","",TRIM(IF(OR('Project Register'!E166="",'Project Register'!F166=""),"Missing date. ","")&amp;IF(AND('Project Register'!E166&lt;&gt;"",'Project Register'!F166&lt;&gt;"",'Project Register'!F166&lt;'Project Register'!E166),"End before start. ","")&amp;IF(NOT(ISNUMBER('Project Register'!G166)),"Effort missing. ","")&amp;IF(D166=0,"No resource. ","")&amp;IF(AND('Project Register'!H166&lt;&gt;"",'Project Register'!I166=""),"Role 1 missing. ","")&amp;IF(AND('Project Register'!J166&lt;&gt;"",'Project Register'!K166=""),"Role 2 missing. ","")&amp;IF(AND('Project Register'!L166&lt;&gt;"",'Project Register'!M166=""),"Role 3 missing. ","")&amp;IF(OR(AND('Project Register'!H166&lt;&gt;"",'Project Register'!H166='Project Register'!J166),AND('Project Register'!H166&lt;&gt;"",'Project Register'!H166='Project Register'!L166),AND('Project Register'!J166&lt;&gt;"",'Project Register'!J166='Project Register'!L166)),"Same person listed twice. ","")&amp;IF(AND('Project Register'!H166&lt;&gt;"",COUNTIF(Resources!$A$2:$A$51,'Project Register'!H166)=0),"Resource 1 not in Resources sheet. ","")&amp;IF(AND('Project Register'!J166&lt;&gt;"",COUNTIF(Resources!$A$2:$A$51,'Project Register'!J166)=0),"Resource 2 not in Resources sheet. ","")&amp;IF(AND('Project Register'!L166&lt;&gt;"",COUNTIF(Resources!$A$2:$A$51,'Project Register'!L166)=0),"Resource 3 not in Resources sheet. ","")&amp;IF('Project Register'!O166="","Test Status missing. ","")&amp;IF(AND(ISNUMBER(E166),E166&gt;1),"This task alone needs over 100% per person. ","")&amp;IF(AND('Project Register'!Q166="Deployed in Live",'Project Register'!R166=""),"Release Date blank (import date will be used). ","")))</f>
        <v/>
      </c>
      <c r="G166" s="17" t="str">
        <f aca="false">IF('Project Register'!$A166="","",IF(F166="","OK","Check"))</f>
        <v/>
      </c>
    </row>
    <row r="167" customFormat="false" ht="15" hidden="false" customHeight="false" outlineLevel="0" collapsed="false">
      <c r="A167" s="15" t="str">
        <f aca="false">IF('Project Register'!$A167="","",ROW('Project Register'!A167))</f>
        <v/>
      </c>
      <c r="B167" s="15" t="str">
        <f aca="false">IF('Project Register'!$A167="","",'Project Register'!B167)</f>
        <v/>
      </c>
      <c r="C167" s="15" t="str">
        <f aca="false">IF('Project Register'!$A167="","",IF(OR('Project Register'!E167="",'Project Register'!F167=""),"",IF('Project Register'!F167&lt;'Project Register'!E167,0,NETWORKDAYS.INTL('Project Register'!E167,'Project Register'!F167,"0000110",Holidays_Leave!$A$3:$A$62))))</f>
        <v/>
      </c>
      <c r="D167" s="15" t="str">
        <f aca="false">IF('Project Register'!$A167="","",('Project Register'!H167&lt;&gt;"")+('Project Register'!J167&lt;&gt;"")+('Project Register'!L167&lt;&gt;""))</f>
        <v/>
      </c>
      <c r="E167" s="16" t="str">
        <f aca="false">IF(OR(C167="",D167="",'Project Register'!G167=""),"",IF(OR(C167=0,D167=0),"",'Project Register'!G167/(C167*D167)))</f>
        <v/>
      </c>
      <c r="F167" s="15" t="str">
        <f aca="false">IF('Project Register'!$A167="","",TRIM(IF(OR('Project Register'!E167="",'Project Register'!F167=""),"Missing date. ","")&amp;IF(AND('Project Register'!E167&lt;&gt;"",'Project Register'!F167&lt;&gt;"",'Project Register'!F167&lt;'Project Register'!E167),"End before start. ","")&amp;IF(NOT(ISNUMBER('Project Register'!G167)),"Effort missing. ","")&amp;IF(D167=0,"No resource. ","")&amp;IF(AND('Project Register'!H167&lt;&gt;"",'Project Register'!I167=""),"Role 1 missing. ","")&amp;IF(AND('Project Register'!J167&lt;&gt;"",'Project Register'!K167=""),"Role 2 missing. ","")&amp;IF(AND('Project Register'!L167&lt;&gt;"",'Project Register'!M167=""),"Role 3 missing. ","")&amp;IF(OR(AND('Project Register'!H167&lt;&gt;"",'Project Register'!H167='Project Register'!J167),AND('Project Register'!H167&lt;&gt;"",'Project Register'!H167='Project Register'!L167),AND('Project Register'!J167&lt;&gt;"",'Project Register'!J167='Project Register'!L167)),"Same person listed twice. ","")&amp;IF(AND('Project Register'!H167&lt;&gt;"",COUNTIF(Resources!$A$2:$A$51,'Project Register'!H167)=0),"Resource 1 not in Resources sheet. ","")&amp;IF(AND('Project Register'!J167&lt;&gt;"",COUNTIF(Resources!$A$2:$A$51,'Project Register'!J167)=0),"Resource 2 not in Resources sheet. ","")&amp;IF(AND('Project Register'!L167&lt;&gt;"",COUNTIF(Resources!$A$2:$A$51,'Project Register'!L167)=0),"Resource 3 not in Resources sheet. ","")&amp;IF('Project Register'!O167="","Test Status missing. ","")&amp;IF(AND(ISNUMBER(E167),E167&gt;1),"This task alone needs over 100% per person. ","")&amp;IF(AND('Project Register'!Q167="Deployed in Live",'Project Register'!R167=""),"Release Date blank (import date will be used). ","")))</f>
        <v/>
      </c>
      <c r="G167" s="17" t="str">
        <f aca="false">IF('Project Register'!$A167="","",IF(F167="","OK","Check"))</f>
        <v/>
      </c>
    </row>
    <row r="168" customFormat="false" ht="15" hidden="false" customHeight="false" outlineLevel="0" collapsed="false">
      <c r="A168" s="15" t="str">
        <f aca="false">IF('Project Register'!$A168="","",ROW('Project Register'!A168))</f>
        <v/>
      </c>
      <c r="B168" s="15" t="str">
        <f aca="false">IF('Project Register'!$A168="","",'Project Register'!B168)</f>
        <v/>
      </c>
      <c r="C168" s="15" t="str">
        <f aca="false">IF('Project Register'!$A168="","",IF(OR('Project Register'!E168="",'Project Register'!F168=""),"",IF('Project Register'!F168&lt;'Project Register'!E168,0,NETWORKDAYS.INTL('Project Register'!E168,'Project Register'!F168,"0000110",Holidays_Leave!$A$3:$A$62))))</f>
        <v/>
      </c>
      <c r="D168" s="15" t="str">
        <f aca="false">IF('Project Register'!$A168="","",('Project Register'!H168&lt;&gt;"")+('Project Register'!J168&lt;&gt;"")+('Project Register'!L168&lt;&gt;""))</f>
        <v/>
      </c>
      <c r="E168" s="16" t="str">
        <f aca="false">IF(OR(C168="",D168="",'Project Register'!G168=""),"",IF(OR(C168=0,D168=0),"",'Project Register'!G168/(C168*D168)))</f>
        <v/>
      </c>
      <c r="F168" s="15" t="str">
        <f aca="false">IF('Project Register'!$A168="","",TRIM(IF(OR('Project Register'!E168="",'Project Register'!F168=""),"Missing date. ","")&amp;IF(AND('Project Register'!E168&lt;&gt;"",'Project Register'!F168&lt;&gt;"",'Project Register'!F168&lt;'Project Register'!E168),"End before start. ","")&amp;IF(NOT(ISNUMBER('Project Register'!G168)),"Effort missing. ","")&amp;IF(D168=0,"No resource. ","")&amp;IF(AND('Project Register'!H168&lt;&gt;"",'Project Register'!I168=""),"Role 1 missing. ","")&amp;IF(AND('Project Register'!J168&lt;&gt;"",'Project Register'!K168=""),"Role 2 missing. ","")&amp;IF(AND('Project Register'!L168&lt;&gt;"",'Project Register'!M168=""),"Role 3 missing. ","")&amp;IF(OR(AND('Project Register'!H168&lt;&gt;"",'Project Register'!H168='Project Register'!J168),AND('Project Register'!H168&lt;&gt;"",'Project Register'!H168='Project Register'!L168),AND('Project Register'!J168&lt;&gt;"",'Project Register'!J168='Project Register'!L168)),"Same person listed twice. ","")&amp;IF(AND('Project Register'!H168&lt;&gt;"",COUNTIF(Resources!$A$2:$A$51,'Project Register'!H168)=0),"Resource 1 not in Resources sheet. ","")&amp;IF(AND('Project Register'!J168&lt;&gt;"",COUNTIF(Resources!$A$2:$A$51,'Project Register'!J168)=0),"Resource 2 not in Resources sheet. ","")&amp;IF(AND('Project Register'!L168&lt;&gt;"",COUNTIF(Resources!$A$2:$A$51,'Project Register'!L168)=0),"Resource 3 not in Resources sheet. ","")&amp;IF('Project Register'!O168="","Test Status missing. ","")&amp;IF(AND(ISNUMBER(E168),E168&gt;1),"This task alone needs over 100% per person. ","")&amp;IF(AND('Project Register'!Q168="Deployed in Live",'Project Register'!R168=""),"Release Date blank (import date will be used). ","")))</f>
        <v/>
      </c>
      <c r="G168" s="17" t="str">
        <f aca="false">IF('Project Register'!$A168="","",IF(F168="","OK","Check"))</f>
        <v/>
      </c>
    </row>
    <row r="169" customFormat="false" ht="15" hidden="false" customHeight="false" outlineLevel="0" collapsed="false">
      <c r="A169" s="15" t="str">
        <f aca="false">IF('Project Register'!$A169="","",ROW('Project Register'!A169))</f>
        <v/>
      </c>
      <c r="B169" s="15" t="str">
        <f aca="false">IF('Project Register'!$A169="","",'Project Register'!B169)</f>
        <v/>
      </c>
      <c r="C169" s="15" t="str">
        <f aca="false">IF('Project Register'!$A169="","",IF(OR('Project Register'!E169="",'Project Register'!F169=""),"",IF('Project Register'!F169&lt;'Project Register'!E169,0,NETWORKDAYS.INTL('Project Register'!E169,'Project Register'!F169,"0000110",Holidays_Leave!$A$3:$A$62))))</f>
        <v/>
      </c>
      <c r="D169" s="15" t="str">
        <f aca="false">IF('Project Register'!$A169="","",('Project Register'!H169&lt;&gt;"")+('Project Register'!J169&lt;&gt;"")+('Project Register'!L169&lt;&gt;""))</f>
        <v/>
      </c>
      <c r="E169" s="16" t="str">
        <f aca="false">IF(OR(C169="",D169="",'Project Register'!G169=""),"",IF(OR(C169=0,D169=0),"",'Project Register'!G169/(C169*D169)))</f>
        <v/>
      </c>
      <c r="F169" s="15" t="str">
        <f aca="false">IF('Project Register'!$A169="","",TRIM(IF(OR('Project Register'!E169="",'Project Register'!F169=""),"Missing date. ","")&amp;IF(AND('Project Register'!E169&lt;&gt;"",'Project Register'!F169&lt;&gt;"",'Project Register'!F169&lt;'Project Register'!E169),"End before start. ","")&amp;IF(NOT(ISNUMBER('Project Register'!G169)),"Effort missing. ","")&amp;IF(D169=0,"No resource. ","")&amp;IF(AND('Project Register'!H169&lt;&gt;"",'Project Register'!I169=""),"Role 1 missing. ","")&amp;IF(AND('Project Register'!J169&lt;&gt;"",'Project Register'!K169=""),"Role 2 missing. ","")&amp;IF(AND('Project Register'!L169&lt;&gt;"",'Project Register'!M169=""),"Role 3 missing. ","")&amp;IF(OR(AND('Project Register'!H169&lt;&gt;"",'Project Register'!H169='Project Register'!J169),AND('Project Register'!H169&lt;&gt;"",'Project Register'!H169='Project Register'!L169),AND('Project Register'!J169&lt;&gt;"",'Project Register'!J169='Project Register'!L169)),"Same person listed twice. ","")&amp;IF(AND('Project Register'!H169&lt;&gt;"",COUNTIF(Resources!$A$2:$A$51,'Project Register'!H169)=0),"Resource 1 not in Resources sheet. ","")&amp;IF(AND('Project Register'!J169&lt;&gt;"",COUNTIF(Resources!$A$2:$A$51,'Project Register'!J169)=0),"Resource 2 not in Resources sheet. ","")&amp;IF(AND('Project Register'!L169&lt;&gt;"",COUNTIF(Resources!$A$2:$A$51,'Project Register'!L169)=0),"Resource 3 not in Resources sheet. ","")&amp;IF('Project Register'!O169="","Test Status missing. ","")&amp;IF(AND(ISNUMBER(E169),E169&gt;1),"This task alone needs over 100% per person. ","")&amp;IF(AND('Project Register'!Q169="Deployed in Live",'Project Register'!R169=""),"Release Date blank (import date will be used). ","")))</f>
        <v/>
      </c>
      <c r="G169" s="17" t="str">
        <f aca="false">IF('Project Register'!$A169="","",IF(F169="","OK","Check"))</f>
        <v/>
      </c>
    </row>
    <row r="170" customFormat="false" ht="15" hidden="false" customHeight="false" outlineLevel="0" collapsed="false">
      <c r="A170" s="15" t="str">
        <f aca="false">IF('Project Register'!$A170="","",ROW('Project Register'!A170))</f>
        <v/>
      </c>
      <c r="B170" s="15" t="str">
        <f aca="false">IF('Project Register'!$A170="","",'Project Register'!B170)</f>
        <v/>
      </c>
      <c r="C170" s="15" t="str">
        <f aca="false">IF('Project Register'!$A170="","",IF(OR('Project Register'!E170="",'Project Register'!F170=""),"",IF('Project Register'!F170&lt;'Project Register'!E170,0,NETWORKDAYS.INTL('Project Register'!E170,'Project Register'!F170,"0000110",Holidays_Leave!$A$3:$A$62))))</f>
        <v/>
      </c>
      <c r="D170" s="15" t="str">
        <f aca="false">IF('Project Register'!$A170="","",('Project Register'!H170&lt;&gt;"")+('Project Register'!J170&lt;&gt;"")+('Project Register'!L170&lt;&gt;""))</f>
        <v/>
      </c>
      <c r="E170" s="16" t="str">
        <f aca="false">IF(OR(C170="",D170="",'Project Register'!G170=""),"",IF(OR(C170=0,D170=0),"",'Project Register'!G170/(C170*D170)))</f>
        <v/>
      </c>
      <c r="F170" s="15" t="str">
        <f aca="false">IF('Project Register'!$A170="","",TRIM(IF(OR('Project Register'!E170="",'Project Register'!F170=""),"Missing date. ","")&amp;IF(AND('Project Register'!E170&lt;&gt;"",'Project Register'!F170&lt;&gt;"",'Project Register'!F170&lt;'Project Register'!E170),"End before start. ","")&amp;IF(NOT(ISNUMBER('Project Register'!G170)),"Effort missing. ","")&amp;IF(D170=0,"No resource. ","")&amp;IF(AND('Project Register'!H170&lt;&gt;"",'Project Register'!I170=""),"Role 1 missing. ","")&amp;IF(AND('Project Register'!J170&lt;&gt;"",'Project Register'!K170=""),"Role 2 missing. ","")&amp;IF(AND('Project Register'!L170&lt;&gt;"",'Project Register'!M170=""),"Role 3 missing. ","")&amp;IF(OR(AND('Project Register'!H170&lt;&gt;"",'Project Register'!H170='Project Register'!J170),AND('Project Register'!H170&lt;&gt;"",'Project Register'!H170='Project Register'!L170),AND('Project Register'!J170&lt;&gt;"",'Project Register'!J170='Project Register'!L170)),"Same person listed twice. ","")&amp;IF(AND('Project Register'!H170&lt;&gt;"",COUNTIF(Resources!$A$2:$A$51,'Project Register'!H170)=0),"Resource 1 not in Resources sheet. ","")&amp;IF(AND('Project Register'!J170&lt;&gt;"",COUNTIF(Resources!$A$2:$A$51,'Project Register'!J170)=0),"Resource 2 not in Resources sheet. ","")&amp;IF(AND('Project Register'!L170&lt;&gt;"",COUNTIF(Resources!$A$2:$A$51,'Project Register'!L170)=0),"Resource 3 not in Resources sheet. ","")&amp;IF('Project Register'!O170="","Test Status missing. ","")&amp;IF(AND(ISNUMBER(E170),E170&gt;1),"This task alone needs over 100% per person. ","")&amp;IF(AND('Project Register'!Q170="Deployed in Live",'Project Register'!R170=""),"Release Date blank (import date will be used). ","")))</f>
        <v/>
      </c>
      <c r="G170" s="17" t="str">
        <f aca="false">IF('Project Register'!$A170="","",IF(F170="","OK","Check"))</f>
        <v/>
      </c>
    </row>
    <row r="171" customFormat="false" ht="15" hidden="false" customHeight="false" outlineLevel="0" collapsed="false">
      <c r="A171" s="15" t="str">
        <f aca="false">IF('Project Register'!$A171="","",ROW('Project Register'!A171))</f>
        <v/>
      </c>
      <c r="B171" s="15" t="str">
        <f aca="false">IF('Project Register'!$A171="","",'Project Register'!B171)</f>
        <v/>
      </c>
      <c r="C171" s="15" t="str">
        <f aca="false">IF('Project Register'!$A171="","",IF(OR('Project Register'!E171="",'Project Register'!F171=""),"",IF('Project Register'!F171&lt;'Project Register'!E171,0,NETWORKDAYS.INTL('Project Register'!E171,'Project Register'!F171,"0000110",Holidays_Leave!$A$3:$A$62))))</f>
        <v/>
      </c>
      <c r="D171" s="15" t="str">
        <f aca="false">IF('Project Register'!$A171="","",('Project Register'!H171&lt;&gt;"")+('Project Register'!J171&lt;&gt;"")+('Project Register'!L171&lt;&gt;""))</f>
        <v/>
      </c>
      <c r="E171" s="16" t="str">
        <f aca="false">IF(OR(C171="",D171="",'Project Register'!G171=""),"",IF(OR(C171=0,D171=0),"",'Project Register'!G171/(C171*D171)))</f>
        <v/>
      </c>
      <c r="F171" s="15" t="str">
        <f aca="false">IF('Project Register'!$A171="","",TRIM(IF(OR('Project Register'!E171="",'Project Register'!F171=""),"Missing date. ","")&amp;IF(AND('Project Register'!E171&lt;&gt;"",'Project Register'!F171&lt;&gt;"",'Project Register'!F171&lt;'Project Register'!E171),"End before start. ","")&amp;IF(NOT(ISNUMBER('Project Register'!G171)),"Effort missing. ","")&amp;IF(D171=0,"No resource. ","")&amp;IF(AND('Project Register'!H171&lt;&gt;"",'Project Register'!I171=""),"Role 1 missing. ","")&amp;IF(AND('Project Register'!J171&lt;&gt;"",'Project Register'!K171=""),"Role 2 missing. ","")&amp;IF(AND('Project Register'!L171&lt;&gt;"",'Project Register'!M171=""),"Role 3 missing. ","")&amp;IF(OR(AND('Project Register'!H171&lt;&gt;"",'Project Register'!H171='Project Register'!J171),AND('Project Register'!H171&lt;&gt;"",'Project Register'!H171='Project Register'!L171),AND('Project Register'!J171&lt;&gt;"",'Project Register'!J171='Project Register'!L171)),"Same person listed twice. ","")&amp;IF(AND('Project Register'!H171&lt;&gt;"",COUNTIF(Resources!$A$2:$A$51,'Project Register'!H171)=0),"Resource 1 not in Resources sheet. ","")&amp;IF(AND('Project Register'!J171&lt;&gt;"",COUNTIF(Resources!$A$2:$A$51,'Project Register'!J171)=0),"Resource 2 not in Resources sheet. ","")&amp;IF(AND('Project Register'!L171&lt;&gt;"",COUNTIF(Resources!$A$2:$A$51,'Project Register'!L171)=0),"Resource 3 not in Resources sheet. ","")&amp;IF('Project Register'!O171="","Test Status missing. ","")&amp;IF(AND(ISNUMBER(E171),E171&gt;1),"This task alone needs over 100% per person. ","")&amp;IF(AND('Project Register'!Q171="Deployed in Live",'Project Register'!R171=""),"Release Date blank (import date will be used). ","")))</f>
        <v/>
      </c>
      <c r="G171" s="17" t="str">
        <f aca="false">IF('Project Register'!$A171="","",IF(F171="","OK","Check"))</f>
        <v/>
      </c>
    </row>
    <row r="172" customFormat="false" ht="15" hidden="false" customHeight="false" outlineLevel="0" collapsed="false">
      <c r="A172" s="15" t="str">
        <f aca="false">IF('Project Register'!$A172="","",ROW('Project Register'!A172))</f>
        <v/>
      </c>
      <c r="B172" s="15" t="str">
        <f aca="false">IF('Project Register'!$A172="","",'Project Register'!B172)</f>
        <v/>
      </c>
      <c r="C172" s="15" t="str">
        <f aca="false">IF('Project Register'!$A172="","",IF(OR('Project Register'!E172="",'Project Register'!F172=""),"",IF('Project Register'!F172&lt;'Project Register'!E172,0,NETWORKDAYS.INTL('Project Register'!E172,'Project Register'!F172,"0000110",Holidays_Leave!$A$3:$A$62))))</f>
        <v/>
      </c>
      <c r="D172" s="15" t="str">
        <f aca="false">IF('Project Register'!$A172="","",('Project Register'!H172&lt;&gt;"")+('Project Register'!J172&lt;&gt;"")+('Project Register'!L172&lt;&gt;""))</f>
        <v/>
      </c>
      <c r="E172" s="16" t="str">
        <f aca="false">IF(OR(C172="",D172="",'Project Register'!G172=""),"",IF(OR(C172=0,D172=0),"",'Project Register'!G172/(C172*D172)))</f>
        <v/>
      </c>
      <c r="F172" s="15" t="str">
        <f aca="false">IF('Project Register'!$A172="","",TRIM(IF(OR('Project Register'!E172="",'Project Register'!F172=""),"Missing date. ","")&amp;IF(AND('Project Register'!E172&lt;&gt;"",'Project Register'!F172&lt;&gt;"",'Project Register'!F172&lt;'Project Register'!E172),"End before start. ","")&amp;IF(NOT(ISNUMBER('Project Register'!G172)),"Effort missing. ","")&amp;IF(D172=0,"No resource. ","")&amp;IF(AND('Project Register'!H172&lt;&gt;"",'Project Register'!I172=""),"Role 1 missing. ","")&amp;IF(AND('Project Register'!J172&lt;&gt;"",'Project Register'!K172=""),"Role 2 missing. ","")&amp;IF(AND('Project Register'!L172&lt;&gt;"",'Project Register'!M172=""),"Role 3 missing. ","")&amp;IF(OR(AND('Project Register'!H172&lt;&gt;"",'Project Register'!H172='Project Register'!J172),AND('Project Register'!H172&lt;&gt;"",'Project Register'!H172='Project Register'!L172),AND('Project Register'!J172&lt;&gt;"",'Project Register'!J172='Project Register'!L172)),"Same person listed twice. ","")&amp;IF(AND('Project Register'!H172&lt;&gt;"",COUNTIF(Resources!$A$2:$A$51,'Project Register'!H172)=0),"Resource 1 not in Resources sheet. ","")&amp;IF(AND('Project Register'!J172&lt;&gt;"",COUNTIF(Resources!$A$2:$A$51,'Project Register'!J172)=0),"Resource 2 not in Resources sheet. ","")&amp;IF(AND('Project Register'!L172&lt;&gt;"",COUNTIF(Resources!$A$2:$A$51,'Project Register'!L172)=0),"Resource 3 not in Resources sheet. ","")&amp;IF('Project Register'!O172="","Test Status missing. ","")&amp;IF(AND(ISNUMBER(E172),E172&gt;1),"This task alone needs over 100% per person. ","")&amp;IF(AND('Project Register'!Q172="Deployed in Live",'Project Register'!R172=""),"Release Date blank (import date will be used). ","")))</f>
        <v/>
      </c>
      <c r="G172" s="17" t="str">
        <f aca="false">IF('Project Register'!$A172="","",IF(F172="","OK","Check"))</f>
        <v/>
      </c>
    </row>
    <row r="173" customFormat="false" ht="15" hidden="false" customHeight="false" outlineLevel="0" collapsed="false">
      <c r="A173" s="15" t="str">
        <f aca="false">IF('Project Register'!$A173="","",ROW('Project Register'!A173))</f>
        <v/>
      </c>
      <c r="B173" s="15" t="str">
        <f aca="false">IF('Project Register'!$A173="","",'Project Register'!B173)</f>
        <v/>
      </c>
      <c r="C173" s="15" t="str">
        <f aca="false">IF('Project Register'!$A173="","",IF(OR('Project Register'!E173="",'Project Register'!F173=""),"",IF('Project Register'!F173&lt;'Project Register'!E173,0,NETWORKDAYS.INTL('Project Register'!E173,'Project Register'!F173,"0000110",Holidays_Leave!$A$3:$A$62))))</f>
        <v/>
      </c>
      <c r="D173" s="15" t="str">
        <f aca="false">IF('Project Register'!$A173="","",('Project Register'!H173&lt;&gt;"")+('Project Register'!J173&lt;&gt;"")+('Project Register'!L173&lt;&gt;""))</f>
        <v/>
      </c>
      <c r="E173" s="16" t="str">
        <f aca="false">IF(OR(C173="",D173="",'Project Register'!G173=""),"",IF(OR(C173=0,D173=0),"",'Project Register'!G173/(C173*D173)))</f>
        <v/>
      </c>
      <c r="F173" s="15" t="str">
        <f aca="false">IF('Project Register'!$A173="","",TRIM(IF(OR('Project Register'!E173="",'Project Register'!F173=""),"Missing date. ","")&amp;IF(AND('Project Register'!E173&lt;&gt;"",'Project Register'!F173&lt;&gt;"",'Project Register'!F173&lt;'Project Register'!E173),"End before start. ","")&amp;IF(NOT(ISNUMBER('Project Register'!G173)),"Effort missing. ","")&amp;IF(D173=0,"No resource. ","")&amp;IF(AND('Project Register'!H173&lt;&gt;"",'Project Register'!I173=""),"Role 1 missing. ","")&amp;IF(AND('Project Register'!J173&lt;&gt;"",'Project Register'!K173=""),"Role 2 missing. ","")&amp;IF(AND('Project Register'!L173&lt;&gt;"",'Project Register'!M173=""),"Role 3 missing. ","")&amp;IF(OR(AND('Project Register'!H173&lt;&gt;"",'Project Register'!H173='Project Register'!J173),AND('Project Register'!H173&lt;&gt;"",'Project Register'!H173='Project Register'!L173),AND('Project Register'!J173&lt;&gt;"",'Project Register'!J173='Project Register'!L173)),"Same person listed twice. ","")&amp;IF(AND('Project Register'!H173&lt;&gt;"",COUNTIF(Resources!$A$2:$A$51,'Project Register'!H173)=0),"Resource 1 not in Resources sheet. ","")&amp;IF(AND('Project Register'!J173&lt;&gt;"",COUNTIF(Resources!$A$2:$A$51,'Project Register'!J173)=0),"Resource 2 not in Resources sheet. ","")&amp;IF(AND('Project Register'!L173&lt;&gt;"",COUNTIF(Resources!$A$2:$A$51,'Project Register'!L173)=0),"Resource 3 not in Resources sheet. ","")&amp;IF('Project Register'!O173="","Test Status missing. ","")&amp;IF(AND(ISNUMBER(E173),E173&gt;1),"This task alone needs over 100% per person. ","")&amp;IF(AND('Project Register'!Q173="Deployed in Live",'Project Register'!R173=""),"Release Date blank (import date will be used). ","")))</f>
        <v/>
      </c>
      <c r="G173" s="17" t="str">
        <f aca="false">IF('Project Register'!$A173="","",IF(F173="","OK","Check"))</f>
        <v/>
      </c>
    </row>
    <row r="174" customFormat="false" ht="15" hidden="false" customHeight="false" outlineLevel="0" collapsed="false">
      <c r="A174" s="15" t="str">
        <f aca="false">IF('Project Register'!$A174="","",ROW('Project Register'!A174))</f>
        <v/>
      </c>
      <c r="B174" s="15" t="str">
        <f aca="false">IF('Project Register'!$A174="","",'Project Register'!B174)</f>
        <v/>
      </c>
      <c r="C174" s="15" t="str">
        <f aca="false">IF('Project Register'!$A174="","",IF(OR('Project Register'!E174="",'Project Register'!F174=""),"",IF('Project Register'!F174&lt;'Project Register'!E174,0,NETWORKDAYS.INTL('Project Register'!E174,'Project Register'!F174,"0000110",Holidays_Leave!$A$3:$A$62))))</f>
        <v/>
      </c>
      <c r="D174" s="15" t="str">
        <f aca="false">IF('Project Register'!$A174="","",('Project Register'!H174&lt;&gt;"")+('Project Register'!J174&lt;&gt;"")+('Project Register'!L174&lt;&gt;""))</f>
        <v/>
      </c>
      <c r="E174" s="16" t="str">
        <f aca="false">IF(OR(C174="",D174="",'Project Register'!G174=""),"",IF(OR(C174=0,D174=0),"",'Project Register'!G174/(C174*D174)))</f>
        <v/>
      </c>
      <c r="F174" s="15" t="str">
        <f aca="false">IF('Project Register'!$A174="","",TRIM(IF(OR('Project Register'!E174="",'Project Register'!F174=""),"Missing date. ","")&amp;IF(AND('Project Register'!E174&lt;&gt;"",'Project Register'!F174&lt;&gt;"",'Project Register'!F174&lt;'Project Register'!E174),"End before start. ","")&amp;IF(NOT(ISNUMBER('Project Register'!G174)),"Effort missing. ","")&amp;IF(D174=0,"No resource. ","")&amp;IF(AND('Project Register'!H174&lt;&gt;"",'Project Register'!I174=""),"Role 1 missing. ","")&amp;IF(AND('Project Register'!J174&lt;&gt;"",'Project Register'!K174=""),"Role 2 missing. ","")&amp;IF(AND('Project Register'!L174&lt;&gt;"",'Project Register'!M174=""),"Role 3 missing. ","")&amp;IF(OR(AND('Project Register'!H174&lt;&gt;"",'Project Register'!H174='Project Register'!J174),AND('Project Register'!H174&lt;&gt;"",'Project Register'!H174='Project Register'!L174),AND('Project Register'!J174&lt;&gt;"",'Project Register'!J174='Project Register'!L174)),"Same person listed twice. ","")&amp;IF(AND('Project Register'!H174&lt;&gt;"",COUNTIF(Resources!$A$2:$A$51,'Project Register'!H174)=0),"Resource 1 not in Resources sheet. ","")&amp;IF(AND('Project Register'!J174&lt;&gt;"",COUNTIF(Resources!$A$2:$A$51,'Project Register'!J174)=0),"Resource 2 not in Resources sheet. ","")&amp;IF(AND('Project Register'!L174&lt;&gt;"",COUNTIF(Resources!$A$2:$A$51,'Project Register'!L174)=0),"Resource 3 not in Resources sheet. ","")&amp;IF('Project Register'!O174="","Test Status missing. ","")&amp;IF(AND(ISNUMBER(E174),E174&gt;1),"This task alone needs over 100% per person. ","")&amp;IF(AND('Project Register'!Q174="Deployed in Live",'Project Register'!R174=""),"Release Date blank (import date will be used). ","")))</f>
        <v/>
      </c>
      <c r="G174" s="17" t="str">
        <f aca="false">IF('Project Register'!$A174="","",IF(F174="","OK","Check"))</f>
        <v/>
      </c>
    </row>
    <row r="175" customFormat="false" ht="15" hidden="false" customHeight="false" outlineLevel="0" collapsed="false">
      <c r="A175" s="15" t="str">
        <f aca="false">IF('Project Register'!$A175="","",ROW('Project Register'!A175))</f>
        <v/>
      </c>
      <c r="B175" s="15" t="str">
        <f aca="false">IF('Project Register'!$A175="","",'Project Register'!B175)</f>
        <v/>
      </c>
      <c r="C175" s="15" t="str">
        <f aca="false">IF('Project Register'!$A175="","",IF(OR('Project Register'!E175="",'Project Register'!F175=""),"",IF('Project Register'!F175&lt;'Project Register'!E175,0,NETWORKDAYS.INTL('Project Register'!E175,'Project Register'!F175,"0000110",Holidays_Leave!$A$3:$A$62))))</f>
        <v/>
      </c>
      <c r="D175" s="15" t="str">
        <f aca="false">IF('Project Register'!$A175="","",('Project Register'!H175&lt;&gt;"")+('Project Register'!J175&lt;&gt;"")+('Project Register'!L175&lt;&gt;""))</f>
        <v/>
      </c>
      <c r="E175" s="16" t="str">
        <f aca="false">IF(OR(C175="",D175="",'Project Register'!G175=""),"",IF(OR(C175=0,D175=0),"",'Project Register'!G175/(C175*D175)))</f>
        <v/>
      </c>
      <c r="F175" s="15" t="str">
        <f aca="false">IF('Project Register'!$A175="","",TRIM(IF(OR('Project Register'!E175="",'Project Register'!F175=""),"Missing date. ","")&amp;IF(AND('Project Register'!E175&lt;&gt;"",'Project Register'!F175&lt;&gt;"",'Project Register'!F175&lt;'Project Register'!E175),"End before start. ","")&amp;IF(NOT(ISNUMBER('Project Register'!G175)),"Effort missing. ","")&amp;IF(D175=0,"No resource. ","")&amp;IF(AND('Project Register'!H175&lt;&gt;"",'Project Register'!I175=""),"Role 1 missing. ","")&amp;IF(AND('Project Register'!J175&lt;&gt;"",'Project Register'!K175=""),"Role 2 missing. ","")&amp;IF(AND('Project Register'!L175&lt;&gt;"",'Project Register'!M175=""),"Role 3 missing. ","")&amp;IF(OR(AND('Project Register'!H175&lt;&gt;"",'Project Register'!H175='Project Register'!J175),AND('Project Register'!H175&lt;&gt;"",'Project Register'!H175='Project Register'!L175),AND('Project Register'!J175&lt;&gt;"",'Project Register'!J175='Project Register'!L175)),"Same person listed twice. ","")&amp;IF(AND('Project Register'!H175&lt;&gt;"",COUNTIF(Resources!$A$2:$A$51,'Project Register'!H175)=0),"Resource 1 not in Resources sheet. ","")&amp;IF(AND('Project Register'!J175&lt;&gt;"",COUNTIF(Resources!$A$2:$A$51,'Project Register'!J175)=0),"Resource 2 not in Resources sheet. ","")&amp;IF(AND('Project Register'!L175&lt;&gt;"",COUNTIF(Resources!$A$2:$A$51,'Project Register'!L175)=0),"Resource 3 not in Resources sheet. ","")&amp;IF('Project Register'!O175="","Test Status missing. ","")&amp;IF(AND(ISNUMBER(E175),E175&gt;1),"This task alone needs over 100% per person. ","")&amp;IF(AND('Project Register'!Q175="Deployed in Live",'Project Register'!R175=""),"Release Date blank (import date will be used). ","")))</f>
        <v/>
      </c>
      <c r="G175" s="17" t="str">
        <f aca="false">IF('Project Register'!$A175="","",IF(F175="","OK","Check"))</f>
        <v/>
      </c>
    </row>
    <row r="176" customFormat="false" ht="15" hidden="false" customHeight="false" outlineLevel="0" collapsed="false">
      <c r="A176" s="15" t="str">
        <f aca="false">IF('Project Register'!$A176="","",ROW('Project Register'!A176))</f>
        <v/>
      </c>
      <c r="B176" s="15" t="str">
        <f aca="false">IF('Project Register'!$A176="","",'Project Register'!B176)</f>
        <v/>
      </c>
      <c r="C176" s="15" t="str">
        <f aca="false">IF('Project Register'!$A176="","",IF(OR('Project Register'!E176="",'Project Register'!F176=""),"",IF('Project Register'!F176&lt;'Project Register'!E176,0,NETWORKDAYS.INTL('Project Register'!E176,'Project Register'!F176,"0000110",Holidays_Leave!$A$3:$A$62))))</f>
        <v/>
      </c>
      <c r="D176" s="15" t="str">
        <f aca="false">IF('Project Register'!$A176="","",('Project Register'!H176&lt;&gt;"")+('Project Register'!J176&lt;&gt;"")+('Project Register'!L176&lt;&gt;""))</f>
        <v/>
      </c>
      <c r="E176" s="16" t="str">
        <f aca="false">IF(OR(C176="",D176="",'Project Register'!G176=""),"",IF(OR(C176=0,D176=0),"",'Project Register'!G176/(C176*D176)))</f>
        <v/>
      </c>
      <c r="F176" s="15" t="str">
        <f aca="false">IF('Project Register'!$A176="","",TRIM(IF(OR('Project Register'!E176="",'Project Register'!F176=""),"Missing date. ","")&amp;IF(AND('Project Register'!E176&lt;&gt;"",'Project Register'!F176&lt;&gt;"",'Project Register'!F176&lt;'Project Register'!E176),"End before start. ","")&amp;IF(NOT(ISNUMBER('Project Register'!G176)),"Effort missing. ","")&amp;IF(D176=0,"No resource. ","")&amp;IF(AND('Project Register'!H176&lt;&gt;"",'Project Register'!I176=""),"Role 1 missing. ","")&amp;IF(AND('Project Register'!J176&lt;&gt;"",'Project Register'!K176=""),"Role 2 missing. ","")&amp;IF(AND('Project Register'!L176&lt;&gt;"",'Project Register'!M176=""),"Role 3 missing. ","")&amp;IF(OR(AND('Project Register'!H176&lt;&gt;"",'Project Register'!H176='Project Register'!J176),AND('Project Register'!H176&lt;&gt;"",'Project Register'!H176='Project Register'!L176),AND('Project Register'!J176&lt;&gt;"",'Project Register'!J176='Project Register'!L176)),"Same person listed twice. ","")&amp;IF(AND('Project Register'!H176&lt;&gt;"",COUNTIF(Resources!$A$2:$A$51,'Project Register'!H176)=0),"Resource 1 not in Resources sheet. ","")&amp;IF(AND('Project Register'!J176&lt;&gt;"",COUNTIF(Resources!$A$2:$A$51,'Project Register'!J176)=0),"Resource 2 not in Resources sheet. ","")&amp;IF(AND('Project Register'!L176&lt;&gt;"",COUNTIF(Resources!$A$2:$A$51,'Project Register'!L176)=0),"Resource 3 not in Resources sheet. ","")&amp;IF('Project Register'!O176="","Test Status missing. ","")&amp;IF(AND(ISNUMBER(E176),E176&gt;1),"This task alone needs over 100% per person. ","")&amp;IF(AND('Project Register'!Q176="Deployed in Live",'Project Register'!R176=""),"Release Date blank (import date will be used). ","")))</f>
        <v/>
      </c>
      <c r="G176" s="17" t="str">
        <f aca="false">IF('Project Register'!$A176="","",IF(F176="","OK","Check"))</f>
        <v/>
      </c>
    </row>
    <row r="177" customFormat="false" ht="15" hidden="false" customHeight="false" outlineLevel="0" collapsed="false">
      <c r="A177" s="15" t="str">
        <f aca="false">IF('Project Register'!$A177="","",ROW('Project Register'!A177))</f>
        <v/>
      </c>
      <c r="B177" s="15" t="str">
        <f aca="false">IF('Project Register'!$A177="","",'Project Register'!B177)</f>
        <v/>
      </c>
      <c r="C177" s="15" t="str">
        <f aca="false">IF('Project Register'!$A177="","",IF(OR('Project Register'!E177="",'Project Register'!F177=""),"",IF('Project Register'!F177&lt;'Project Register'!E177,0,NETWORKDAYS.INTL('Project Register'!E177,'Project Register'!F177,"0000110",Holidays_Leave!$A$3:$A$62))))</f>
        <v/>
      </c>
      <c r="D177" s="15" t="str">
        <f aca="false">IF('Project Register'!$A177="","",('Project Register'!H177&lt;&gt;"")+('Project Register'!J177&lt;&gt;"")+('Project Register'!L177&lt;&gt;""))</f>
        <v/>
      </c>
      <c r="E177" s="16" t="str">
        <f aca="false">IF(OR(C177="",D177="",'Project Register'!G177=""),"",IF(OR(C177=0,D177=0),"",'Project Register'!G177/(C177*D177)))</f>
        <v/>
      </c>
      <c r="F177" s="15" t="str">
        <f aca="false">IF('Project Register'!$A177="","",TRIM(IF(OR('Project Register'!E177="",'Project Register'!F177=""),"Missing date. ","")&amp;IF(AND('Project Register'!E177&lt;&gt;"",'Project Register'!F177&lt;&gt;"",'Project Register'!F177&lt;'Project Register'!E177),"End before start. ","")&amp;IF(NOT(ISNUMBER('Project Register'!G177)),"Effort missing. ","")&amp;IF(D177=0,"No resource. ","")&amp;IF(AND('Project Register'!H177&lt;&gt;"",'Project Register'!I177=""),"Role 1 missing. ","")&amp;IF(AND('Project Register'!J177&lt;&gt;"",'Project Register'!K177=""),"Role 2 missing. ","")&amp;IF(AND('Project Register'!L177&lt;&gt;"",'Project Register'!M177=""),"Role 3 missing. ","")&amp;IF(OR(AND('Project Register'!H177&lt;&gt;"",'Project Register'!H177='Project Register'!J177),AND('Project Register'!H177&lt;&gt;"",'Project Register'!H177='Project Register'!L177),AND('Project Register'!J177&lt;&gt;"",'Project Register'!J177='Project Register'!L177)),"Same person listed twice. ","")&amp;IF(AND('Project Register'!H177&lt;&gt;"",COUNTIF(Resources!$A$2:$A$51,'Project Register'!H177)=0),"Resource 1 not in Resources sheet. ","")&amp;IF(AND('Project Register'!J177&lt;&gt;"",COUNTIF(Resources!$A$2:$A$51,'Project Register'!J177)=0),"Resource 2 not in Resources sheet. ","")&amp;IF(AND('Project Register'!L177&lt;&gt;"",COUNTIF(Resources!$A$2:$A$51,'Project Register'!L177)=0),"Resource 3 not in Resources sheet. ","")&amp;IF('Project Register'!O177="","Test Status missing. ","")&amp;IF(AND(ISNUMBER(E177),E177&gt;1),"This task alone needs over 100% per person. ","")&amp;IF(AND('Project Register'!Q177="Deployed in Live",'Project Register'!R177=""),"Release Date blank (import date will be used). ","")))</f>
        <v/>
      </c>
      <c r="G177" s="17" t="str">
        <f aca="false">IF('Project Register'!$A177="","",IF(F177="","OK","Check"))</f>
        <v/>
      </c>
    </row>
    <row r="178" customFormat="false" ht="15" hidden="false" customHeight="false" outlineLevel="0" collapsed="false">
      <c r="A178" s="15" t="str">
        <f aca="false">IF('Project Register'!$A178="","",ROW('Project Register'!A178))</f>
        <v/>
      </c>
      <c r="B178" s="15" t="str">
        <f aca="false">IF('Project Register'!$A178="","",'Project Register'!B178)</f>
        <v/>
      </c>
      <c r="C178" s="15" t="str">
        <f aca="false">IF('Project Register'!$A178="","",IF(OR('Project Register'!E178="",'Project Register'!F178=""),"",IF('Project Register'!F178&lt;'Project Register'!E178,0,NETWORKDAYS.INTL('Project Register'!E178,'Project Register'!F178,"0000110",Holidays_Leave!$A$3:$A$62))))</f>
        <v/>
      </c>
      <c r="D178" s="15" t="str">
        <f aca="false">IF('Project Register'!$A178="","",('Project Register'!H178&lt;&gt;"")+('Project Register'!J178&lt;&gt;"")+('Project Register'!L178&lt;&gt;""))</f>
        <v/>
      </c>
      <c r="E178" s="16" t="str">
        <f aca="false">IF(OR(C178="",D178="",'Project Register'!G178=""),"",IF(OR(C178=0,D178=0),"",'Project Register'!G178/(C178*D178)))</f>
        <v/>
      </c>
      <c r="F178" s="15" t="str">
        <f aca="false">IF('Project Register'!$A178="","",TRIM(IF(OR('Project Register'!E178="",'Project Register'!F178=""),"Missing date. ","")&amp;IF(AND('Project Register'!E178&lt;&gt;"",'Project Register'!F178&lt;&gt;"",'Project Register'!F178&lt;'Project Register'!E178),"End before start. ","")&amp;IF(NOT(ISNUMBER('Project Register'!G178)),"Effort missing. ","")&amp;IF(D178=0,"No resource. ","")&amp;IF(AND('Project Register'!H178&lt;&gt;"",'Project Register'!I178=""),"Role 1 missing. ","")&amp;IF(AND('Project Register'!J178&lt;&gt;"",'Project Register'!K178=""),"Role 2 missing. ","")&amp;IF(AND('Project Register'!L178&lt;&gt;"",'Project Register'!M178=""),"Role 3 missing. ","")&amp;IF(OR(AND('Project Register'!H178&lt;&gt;"",'Project Register'!H178='Project Register'!J178),AND('Project Register'!H178&lt;&gt;"",'Project Register'!H178='Project Register'!L178),AND('Project Register'!J178&lt;&gt;"",'Project Register'!J178='Project Register'!L178)),"Same person listed twice. ","")&amp;IF(AND('Project Register'!H178&lt;&gt;"",COUNTIF(Resources!$A$2:$A$51,'Project Register'!H178)=0),"Resource 1 not in Resources sheet. ","")&amp;IF(AND('Project Register'!J178&lt;&gt;"",COUNTIF(Resources!$A$2:$A$51,'Project Register'!J178)=0),"Resource 2 not in Resources sheet. ","")&amp;IF(AND('Project Register'!L178&lt;&gt;"",COUNTIF(Resources!$A$2:$A$51,'Project Register'!L178)=0),"Resource 3 not in Resources sheet. ","")&amp;IF('Project Register'!O178="","Test Status missing. ","")&amp;IF(AND(ISNUMBER(E178),E178&gt;1),"This task alone needs over 100% per person. ","")&amp;IF(AND('Project Register'!Q178="Deployed in Live",'Project Register'!R178=""),"Release Date blank (import date will be used). ","")))</f>
        <v/>
      </c>
      <c r="G178" s="17" t="str">
        <f aca="false">IF('Project Register'!$A178="","",IF(F178="","OK","Check"))</f>
        <v/>
      </c>
    </row>
    <row r="179" customFormat="false" ht="15" hidden="false" customHeight="false" outlineLevel="0" collapsed="false">
      <c r="A179" s="15" t="str">
        <f aca="false">IF('Project Register'!$A179="","",ROW('Project Register'!A179))</f>
        <v/>
      </c>
      <c r="B179" s="15" t="str">
        <f aca="false">IF('Project Register'!$A179="","",'Project Register'!B179)</f>
        <v/>
      </c>
      <c r="C179" s="15" t="str">
        <f aca="false">IF('Project Register'!$A179="","",IF(OR('Project Register'!E179="",'Project Register'!F179=""),"",IF('Project Register'!F179&lt;'Project Register'!E179,0,NETWORKDAYS.INTL('Project Register'!E179,'Project Register'!F179,"0000110",Holidays_Leave!$A$3:$A$62))))</f>
        <v/>
      </c>
      <c r="D179" s="15" t="str">
        <f aca="false">IF('Project Register'!$A179="","",('Project Register'!H179&lt;&gt;"")+('Project Register'!J179&lt;&gt;"")+('Project Register'!L179&lt;&gt;""))</f>
        <v/>
      </c>
      <c r="E179" s="16" t="str">
        <f aca="false">IF(OR(C179="",D179="",'Project Register'!G179=""),"",IF(OR(C179=0,D179=0),"",'Project Register'!G179/(C179*D179)))</f>
        <v/>
      </c>
      <c r="F179" s="15" t="str">
        <f aca="false">IF('Project Register'!$A179="","",TRIM(IF(OR('Project Register'!E179="",'Project Register'!F179=""),"Missing date. ","")&amp;IF(AND('Project Register'!E179&lt;&gt;"",'Project Register'!F179&lt;&gt;"",'Project Register'!F179&lt;'Project Register'!E179),"End before start. ","")&amp;IF(NOT(ISNUMBER('Project Register'!G179)),"Effort missing. ","")&amp;IF(D179=0,"No resource. ","")&amp;IF(AND('Project Register'!H179&lt;&gt;"",'Project Register'!I179=""),"Role 1 missing. ","")&amp;IF(AND('Project Register'!J179&lt;&gt;"",'Project Register'!K179=""),"Role 2 missing. ","")&amp;IF(AND('Project Register'!L179&lt;&gt;"",'Project Register'!M179=""),"Role 3 missing. ","")&amp;IF(OR(AND('Project Register'!H179&lt;&gt;"",'Project Register'!H179='Project Register'!J179),AND('Project Register'!H179&lt;&gt;"",'Project Register'!H179='Project Register'!L179),AND('Project Register'!J179&lt;&gt;"",'Project Register'!J179='Project Register'!L179)),"Same person listed twice. ","")&amp;IF(AND('Project Register'!H179&lt;&gt;"",COUNTIF(Resources!$A$2:$A$51,'Project Register'!H179)=0),"Resource 1 not in Resources sheet. ","")&amp;IF(AND('Project Register'!J179&lt;&gt;"",COUNTIF(Resources!$A$2:$A$51,'Project Register'!J179)=0),"Resource 2 not in Resources sheet. ","")&amp;IF(AND('Project Register'!L179&lt;&gt;"",COUNTIF(Resources!$A$2:$A$51,'Project Register'!L179)=0),"Resource 3 not in Resources sheet. ","")&amp;IF('Project Register'!O179="","Test Status missing. ","")&amp;IF(AND(ISNUMBER(E179),E179&gt;1),"This task alone needs over 100% per person. ","")&amp;IF(AND('Project Register'!Q179="Deployed in Live",'Project Register'!R179=""),"Release Date blank (import date will be used). ","")))</f>
        <v/>
      </c>
      <c r="G179" s="17" t="str">
        <f aca="false">IF('Project Register'!$A179="","",IF(F179="","OK","Check"))</f>
        <v/>
      </c>
    </row>
    <row r="180" customFormat="false" ht="15" hidden="false" customHeight="false" outlineLevel="0" collapsed="false">
      <c r="A180" s="15" t="str">
        <f aca="false">IF('Project Register'!$A180="","",ROW('Project Register'!A180))</f>
        <v/>
      </c>
      <c r="B180" s="15" t="str">
        <f aca="false">IF('Project Register'!$A180="","",'Project Register'!B180)</f>
        <v/>
      </c>
      <c r="C180" s="15" t="str">
        <f aca="false">IF('Project Register'!$A180="","",IF(OR('Project Register'!E180="",'Project Register'!F180=""),"",IF('Project Register'!F180&lt;'Project Register'!E180,0,NETWORKDAYS.INTL('Project Register'!E180,'Project Register'!F180,"0000110",Holidays_Leave!$A$3:$A$62))))</f>
        <v/>
      </c>
      <c r="D180" s="15" t="str">
        <f aca="false">IF('Project Register'!$A180="","",('Project Register'!H180&lt;&gt;"")+('Project Register'!J180&lt;&gt;"")+('Project Register'!L180&lt;&gt;""))</f>
        <v/>
      </c>
      <c r="E180" s="16" t="str">
        <f aca="false">IF(OR(C180="",D180="",'Project Register'!G180=""),"",IF(OR(C180=0,D180=0),"",'Project Register'!G180/(C180*D180)))</f>
        <v/>
      </c>
      <c r="F180" s="15" t="str">
        <f aca="false">IF('Project Register'!$A180="","",TRIM(IF(OR('Project Register'!E180="",'Project Register'!F180=""),"Missing date. ","")&amp;IF(AND('Project Register'!E180&lt;&gt;"",'Project Register'!F180&lt;&gt;"",'Project Register'!F180&lt;'Project Register'!E180),"End before start. ","")&amp;IF(NOT(ISNUMBER('Project Register'!G180)),"Effort missing. ","")&amp;IF(D180=0,"No resource. ","")&amp;IF(AND('Project Register'!H180&lt;&gt;"",'Project Register'!I180=""),"Role 1 missing. ","")&amp;IF(AND('Project Register'!J180&lt;&gt;"",'Project Register'!K180=""),"Role 2 missing. ","")&amp;IF(AND('Project Register'!L180&lt;&gt;"",'Project Register'!M180=""),"Role 3 missing. ","")&amp;IF(OR(AND('Project Register'!H180&lt;&gt;"",'Project Register'!H180='Project Register'!J180),AND('Project Register'!H180&lt;&gt;"",'Project Register'!H180='Project Register'!L180),AND('Project Register'!J180&lt;&gt;"",'Project Register'!J180='Project Register'!L180)),"Same person listed twice. ","")&amp;IF(AND('Project Register'!H180&lt;&gt;"",COUNTIF(Resources!$A$2:$A$51,'Project Register'!H180)=0),"Resource 1 not in Resources sheet. ","")&amp;IF(AND('Project Register'!J180&lt;&gt;"",COUNTIF(Resources!$A$2:$A$51,'Project Register'!J180)=0),"Resource 2 not in Resources sheet. ","")&amp;IF(AND('Project Register'!L180&lt;&gt;"",COUNTIF(Resources!$A$2:$A$51,'Project Register'!L180)=0),"Resource 3 not in Resources sheet. ","")&amp;IF('Project Register'!O180="","Test Status missing. ","")&amp;IF(AND(ISNUMBER(E180),E180&gt;1),"This task alone needs over 100% per person. ","")&amp;IF(AND('Project Register'!Q180="Deployed in Live",'Project Register'!R180=""),"Release Date blank (import date will be used). ","")))</f>
        <v/>
      </c>
      <c r="G180" s="17" t="str">
        <f aca="false">IF('Project Register'!$A180="","",IF(F180="","OK","Check"))</f>
        <v/>
      </c>
    </row>
    <row r="181" customFormat="false" ht="15" hidden="false" customHeight="false" outlineLevel="0" collapsed="false">
      <c r="A181" s="15" t="str">
        <f aca="false">IF('Project Register'!$A181="","",ROW('Project Register'!A181))</f>
        <v/>
      </c>
      <c r="B181" s="15" t="str">
        <f aca="false">IF('Project Register'!$A181="","",'Project Register'!B181)</f>
        <v/>
      </c>
      <c r="C181" s="15" t="str">
        <f aca="false">IF('Project Register'!$A181="","",IF(OR('Project Register'!E181="",'Project Register'!F181=""),"",IF('Project Register'!F181&lt;'Project Register'!E181,0,NETWORKDAYS.INTL('Project Register'!E181,'Project Register'!F181,"0000110",Holidays_Leave!$A$3:$A$62))))</f>
        <v/>
      </c>
      <c r="D181" s="15" t="str">
        <f aca="false">IF('Project Register'!$A181="","",('Project Register'!H181&lt;&gt;"")+('Project Register'!J181&lt;&gt;"")+('Project Register'!L181&lt;&gt;""))</f>
        <v/>
      </c>
      <c r="E181" s="16" t="str">
        <f aca="false">IF(OR(C181="",D181="",'Project Register'!G181=""),"",IF(OR(C181=0,D181=0),"",'Project Register'!G181/(C181*D181)))</f>
        <v/>
      </c>
      <c r="F181" s="15" t="str">
        <f aca="false">IF('Project Register'!$A181="","",TRIM(IF(OR('Project Register'!E181="",'Project Register'!F181=""),"Missing date. ","")&amp;IF(AND('Project Register'!E181&lt;&gt;"",'Project Register'!F181&lt;&gt;"",'Project Register'!F181&lt;'Project Register'!E181),"End before start. ","")&amp;IF(NOT(ISNUMBER('Project Register'!G181)),"Effort missing. ","")&amp;IF(D181=0,"No resource. ","")&amp;IF(AND('Project Register'!H181&lt;&gt;"",'Project Register'!I181=""),"Role 1 missing. ","")&amp;IF(AND('Project Register'!J181&lt;&gt;"",'Project Register'!K181=""),"Role 2 missing. ","")&amp;IF(AND('Project Register'!L181&lt;&gt;"",'Project Register'!M181=""),"Role 3 missing. ","")&amp;IF(OR(AND('Project Register'!H181&lt;&gt;"",'Project Register'!H181='Project Register'!J181),AND('Project Register'!H181&lt;&gt;"",'Project Register'!H181='Project Register'!L181),AND('Project Register'!J181&lt;&gt;"",'Project Register'!J181='Project Register'!L181)),"Same person listed twice. ","")&amp;IF(AND('Project Register'!H181&lt;&gt;"",COUNTIF(Resources!$A$2:$A$51,'Project Register'!H181)=0),"Resource 1 not in Resources sheet. ","")&amp;IF(AND('Project Register'!J181&lt;&gt;"",COUNTIF(Resources!$A$2:$A$51,'Project Register'!J181)=0),"Resource 2 not in Resources sheet. ","")&amp;IF(AND('Project Register'!L181&lt;&gt;"",COUNTIF(Resources!$A$2:$A$51,'Project Register'!L181)=0),"Resource 3 not in Resources sheet. ","")&amp;IF('Project Register'!O181="","Test Status missing. ","")&amp;IF(AND(ISNUMBER(E181),E181&gt;1),"This task alone needs over 100% per person. ","")&amp;IF(AND('Project Register'!Q181="Deployed in Live",'Project Register'!R181=""),"Release Date blank (import date will be used). ","")))</f>
        <v/>
      </c>
      <c r="G181" s="17" t="str">
        <f aca="false">IF('Project Register'!$A181="","",IF(F181="","OK","Check"))</f>
        <v/>
      </c>
    </row>
    <row r="182" customFormat="false" ht="15" hidden="false" customHeight="false" outlineLevel="0" collapsed="false">
      <c r="A182" s="15" t="str">
        <f aca="false">IF('Project Register'!$A182="","",ROW('Project Register'!A182))</f>
        <v/>
      </c>
      <c r="B182" s="15" t="str">
        <f aca="false">IF('Project Register'!$A182="","",'Project Register'!B182)</f>
        <v/>
      </c>
      <c r="C182" s="15" t="str">
        <f aca="false">IF('Project Register'!$A182="","",IF(OR('Project Register'!E182="",'Project Register'!F182=""),"",IF('Project Register'!F182&lt;'Project Register'!E182,0,NETWORKDAYS.INTL('Project Register'!E182,'Project Register'!F182,"0000110",Holidays_Leave!$A$3:$A$62))))</f>
        <v/>
      </c>
      <c r="D182" s="15" t="str">
        <f aca="false">IF('Project Register'!$A182="","",('Project Register'!H182&lt;&gt;"")+('Project Register'!J182&lt;&gt;"")+('Project Register'!L182&lt;&gt;""))</f>
        <v/>
      </c>
      <c r="E182" s="16" t="str">
        <f aca="false">IF(OR(C182="",D182="",'Project Register'!G182=""),"",IF(OR(C182=0,D182=0),"",'Project Register'!G182/(C182*D182)))</f>
        <v/>
      </c>
      <c r="F182" s="15" t="str">
        <f aca="false">IF('Project Register'!$A182="","",TRIM(IF(OR('Project Register'!E182="",'Project Register'!F182=""),"Missing date. ","")&amp;IF(AND('Project Register'!E182&lt;&gt;"",'Project Register'!F182&lt;&gt;"",'Project Register'!F182&lt;'Project Register'!E182),"End before start. ","")&amp;IF(NOT(ISNUMBER('Project Register'!G182)),"Effort missing. ","")&amp;IF(D182=0,"No resource. ","")&amp;IF(AND('Project Register'!H182&lt;&gt;"",'Project Register'!I182=""),"Role 1 missing. ","")&amp;IF(AND('Project Register'!J182&lt;&gt;"",'Project Register'!K182=""),"Role 2 missing. ","")&amp;IF(AND('Project Register'!L182&lt;&gt;"",'Project Register'!M182=""),"Role 3 missing. ","")&amp;IF(OR(AND('Project Register'!H182&lt;&gt;"",'Project Register'!H182='Project Register'!J182),AND('Project Register'!H182&lt;&gt;"",'Project Register'!H182='Project Register'!L182),AND('Project Register'!J182&lt;&gt;"",'Project Register'!J182='Project Register'!L182)),"Same person listed twice. ","")&amp;IF(AND('Project Register'!H182&lt;&gt;"",COUNTIF(Resources!$A$2:$A$51,'Project Register'!H182)=0),"Resource 1 not in Resources sheet. ","")&amp;IF(AND('Project Register'!J182&lt;&gt;"",COUNTIF(Resources!$A$2:$A$51,'Project Register'!J182)=0),"Resource 2 not in Resources sheet. ","")&amp;IF(AND('Project Register'!L182&lt;&gt;"",COUNTIF(Resources!$A$2:$A$51,'Project Register'!L182)=0),"Resource 3 not in Resources sheet. ","")&amp;IF('Project Register'!O182="","Test Status missing. ","")&amp;IF(AND(ISNUMBER(E182),E182&gt;1),"This task alone needs over 100% per person. ","")&amp;IF(AND('Project Register'!Q182="Deployed in Live",'Project Register'!R182=""),"Release Date blank (import date will be used). ","")))</f>
        <v/>
      </c>
      <c r="G182" s="17" t="str">
        <f aca="false">IF('Project Register'!$A182="","",IF(F182="","OK","Check"))</f>
        <v/>
      </c>
    </row>
    <row r="183" customFormat="false" ht="15" hidden="false" customHeight="false" outlineLevel="0" collapsed="false">
      <c r="A183" s="15" t="str">
        <f aca="false">IF('Project Register'!$A183="","",ROW('Project Register'!A183))</f>
        <v/>
      </c>
      <c r="B183" s="15" t="str">
        <f aca="false">IF('Project Register'!$A183="","",'Project Register'!B183)</f>
        <v/>
      </c>
      <c r="C183" s="15" t="str">
        <f aca="false">IF('Project Register'!$A183="","",IF(OR('Project Register'!E183="",'Project Register'!F183=""),"",IF('Project Register'!F183&lt;'Project Register'!E183,0,NETWORKDAYS.INTL('Project Register'!E183,'Project Register'!F183,"0000110",Holidays_Leave!$A$3:$A$62))))</f>
        <v/>
      </c>
      <c r="D183" s="15" t="str">
        <f aca="false">IF('Project Register'!$A183="","",('Project Register'!H183&lt;&gt;"")+('Project Register'!J183&lt;&gt;"")+('Project Register'!L183&lt;&gt;""))</f>
        <v/>
      </c>
      <c r="E183" s="16" t="str">
        <f aca="false">IF(OR(C183="",D183="",'Project Register'!G183=""),"",IF(OR(C183=0,D183=0),"",'Project Register'!G183/(C183*D183)))</f>
        <v/>
      </c>
      <c r="F183" s="15" t="str">
        <f aca="false">IF('Project Register'!$A183="","",TRIM(IF(OR('Project Register'!E183="",'Project Register'!F183=""),"Missing date. ","")&amp;IF(AND('Project Register'!E183&lt;&gt;"",'Project Register'!F183&lt;&gt;"",'Project Register'!F183&lt;'Project Register'!E183),"End before start. ","")&amp;IF(NOT(ISNUMBER('Project Register'!G183)),"Effort missing. ","")&amp;IF(D183=0,"No resource. ","")&amp;IF(AND('Project Register'!H183&lt;&gt;"",'Project Register'!I183=""),"Role 1 missing. ","")&amp;IF(AND('Project Register'!J183&lt;&gt;"",'Project Register'!K183=""),"Role 2 missing. ","")&amp;IF(AND('Project Register'!L183&lt;&gt;"",'Project Register'!M183=""),"Role 3 missing. ","")&amp;IF(OR(AND('Project Register'!H183&lt;&gt;"",'Project Register'!H183='Project Register'!J183),AND('Project Register'!H183&lt;&gt;"",'Project Register'!H183='Project Register'!L183),AND('Project Register'!J183&lt;&gt;"",'Project Register'!J183='Project Register'!L183)),"Same person listed twice. ","")&amp;IF(AND('Project Register'!H183&lt;&gt;"",COUNTIF(Resources!$A$2:$A$51,'Project Register'!H183)=0),"Resource 1 not in Resources sheet. ","")&amp;IF(AND('Project Register'!J183&lt;&gt;"",COUNTIF(Resources!$A$2:$A$51,'Project Register'!J183)=0),"Resource 2 not in Resources sheet. ","")&amp;IF(AND('Project Register'!L183&lt;&gt;"",COUNTIF(Resources!$A$2:$A$51,'Project Register'!L183)=0),"Resource 3 not in Resources sheet. ","")&amp;IF('Project Register'!O183="","Test Status missing. ","")&amp;IF(AND(ISNUMBER(E183),E183&gt;1),"This task alone needs over 100% per person. ","")&amp;IF(AND('Project Register'!Q183="Deployed in Live",'Project Register'!R183=""),"Release Date blank (import date will be used). ","")))</f>
        <v/>
      </c>
      <c r="G183" s="17" t="str">
        <f aca="false">IF('Project Register'!$A183="","",IF(F183="","OK","Check"))</f>
        <v/>
      </c>
    </row>
    <row r="184" customFormat="false" ht="15" hidden="false" customHeight="false" outlineLevel="0" collapsed="false">
      <c r="A184" s="15" t="str">
        <f aca="false">IF('Project Register'!$A184="","",ROW('Project Register'!A184))</f>
        <v/>
      </c>
      <c r="B184" s="15" t="str">
        <f aca="false">IF('Project Register'!$A184="","",'Project Register'!B184)</f>
        <v/>
      </c>
      <c r="C184" s="15" t="str">
        <f aca="false">IF('Project Register'!$A184="","",IF(OR('Project Register'!E184="",'Project Register'!F184=""),"",IF('Project Register'!F184&lt;'Project Register'!E184,0,NETWORKDAYS.INTL('Project Register'!E184,'Project Register'!F184,"0000110",Holidays_Leave!$A$3:$A$62))))</f>
        <v/>
      </c>
      <c r="D184" s="15" t="str">
        <f aca="false">IF('Project Register'!$A184="","",('Project Register'!H184&lt;&gt;"")+('Project Register'!J184&lt;&gt;"")+('Project Register'!L184&lt;&gt;""))</f>
        <v/>
      </c>
      <c r="E184" s="16" t="str">
        <f aca="false">IF(OR(C184="",D184="",'Project Register'!G184=""),"",IF(OR(C184=0,D184=0),"",'Project Register'!G184/(C184*D184)))</f>
        <v/>
      </c>
      <c r="F184" s="15" t="str">
        <f aca="false">IF('Project Register'!$A184="","",TRIM(IF(OR('Project Register'!E184="",'Project Register'!F184=""),"Missing date. ","")&amp;IF(AND('Project Register'!E184&lt;&gt;"",'Project Register'!F184&lt;&gt;"",'Project Register'!F184&lt;'Project Register'!E184),"End before start. ","")&amp;IF(NOT(ISNUMBER('Project Register'!G184)),"Effort missing. ","")&amp;IF(D184=0,"No resource. ","")&amp;IF(AND('Project Register'!H184&lt;&gt;"",'Project Register'!I184=""),"Role 1 missing. ","")&amp;IF(AND('Project Register'!J184&lt;&gt;"",'Project Register'!K184=""),"Role 2 missing. ","")&amp;IF(AND('Project Register'!L184&lt;&gt;"",'Project Register'!M184=""),"Role 3 missing. ","")&amp;IF(OR(AND('Project Register'!H184&lt;&gt;"",'Project Register'!H184='Project Register'!J184),AND('Project Register'!H184&lt;&gt;"",'Project Register'!H184='Project Register'!L184),AND('Project Register'!J184&lt;&gt;"",'Project Register'!J184='Project Register'!L184)),"Same person listed twice. ","")&amp;IF(AND('Project Register'!H184&lt;&gt;"",COUNTIF(Resources!$A$2:$A$51,'Project Register'!H184)=0),"Resource 1 not in Resources sheet. ","")&amp;IF(AND('Project Register'!J184&lt;&gt;"",COUNTIF(Resources!$A$2:$A$51,'Project Register'!J184)=0),"Resource 2 not in Resources sheet. ","")&amp;IF(AND('Project Register'!L184&lt;&gt;"",COUNTIF(Resources!$A$2:$A$51,'Project Register'!L184)=0),"Resource 3 not in Resources sheet. ","")&amp;IF('Project Register'!O184="","Test Status missing. ","")&amp;IF(AND(ISNUMBER(E184),E184&gt;1),"This task alone needs over 100% per person. ","")&amp;IF(AND('Project Register'!Q184="Deployed in Live",'Project Register'!R184=""),"Release Date blank (import date will be used). ","")))</f>
        <v/>
      </c>
      <c r="G184" s="17" t="str">
        <f aca="false">IF('Project Register'!$A184="","",IF(F184="","OK","Check"))</f>
        <v/>
      </c>
    </row>
    <row r="185" customFormat="false" ht="15" hidden="false" customHeight="false" outlineLevel="0" collapsed="false">
      <c r="A185" s="15" t="str">
        <f aca="false">IF('Project Register'!$A185="","",ROW('Project Register'!A185))</f>
        <v/>
      </c>
      <c r="B185" s="15" t="str">
        <f aca="false">IF('Project Register'!$A185="","",'Project Register'!B185)</f>
        <v/>
      </c>
      <c r="C185" s="15" t="str">
        <f aca="false">IF('Project Register'!$A185="","",IF(OR('Project Register'!E185="",'Project Register'!F185=""),"",IF('Project Register'!F185&lt;'Project Register'!E185,0,NETWORKDAYS.INTL('Project Register'!E185,'Project Register'!F185,"0000110",Holidays_Leave!$A$3:$A$62))))</f>
        <v/>
      </c>
      <c r="D185" s="15" t="str">
        <f aca="false">IF('Project Register'!$A185="","",('Project Register'!H185&lt;&gt;"")+('Project Register'!J185&lt;&gt;"")+('Project Register'!L185&lt;&gt;""))</f>
        <v/>
      </c>
      <c r="E185" s="16" t="str">
        <f aca="false">IF(OR(C185="",D185="",'Project Register'!G185=""),"",IF(OR(C185=0,D185=0),"",'Project Register'!G185/(C185*D185)))</f>
        <v/>
      </c>
      <c r="F185" s="15" t="str">
        <f aca="false">IF('Project Register'!$A185="","",TRIM(IF(OR('Project Register'!E185="",'Project Register'!F185=""),"Missing date. ","")&amp;IF(AND('Project Register'!E185&lt;&gt;"",'Project Register'!F185&lt;&gt;"",'Project Register'!F185&lt;'Project Register'!E185),"End before start. ","")&amp;IF(NOT(ISNUMBER('Project Register'!G185)),"Effort missing. ","")&amp;IF(D185=0,"No resource. ","")&amp;IF(AND('Project Register'!H185&lt;&gt;"",'Project Register'!I185=""),"Role 1 missing. ","")&amp;IF(AND('Project Register'!J185&lt;&gt;"",'Project Register'!K185=""),"Role 2 missing. ","")&amp;IF(AND('Project Register'!L185&lt;&gt;"",'Project Register'!M185=""),"Role 3 missing. ","")&amp;IF(OR(AND('Project Register'!H185&lt;&gt;"",'Project Register'!H185='Project Register'!J185),AND('Project Register'!H185&lt;&gt;"",'Project Register'!H185='Project Register'!L185),AND('Project Register'!J185&lt;&gt;"",'Project Register'!J185='Project Register'!L185)),"Same person listed twice. ","")&amp;IF(AND('Project Register'!H185&lt;&gt;"",COUNTIF(Resources!$A$2:$A$51,'Project Register'!H185)=0),"Resource 1 not in Resources sheet. ","")&amp;IF(AND('Project Register'!J185&lt;&gt;"",COUNTIF(Resources!$A$2:$A$51,'Project Register'!J185)=0),"Resource 2 not in Resources sheet. ","")&amp;IF(AND('Project Register'!L185&lt;&gt;"",COUNTIF(Resources!$A$2:$A$51,'Project Register'!L185)=0),"Resource 3 not in Resources sheet. ","")&amp;IF('Project Register'!O185="","Test Status missing. ","")&amp;IF(AND(ISNUMBER(E185),E185&gt;1),"This task alone needs over 100% per person. ","")&amp;IF(AND('Project Register'!Q185="Deployed in Live",'Project Register'!R185=""),"Release Date blank (import date will be used). ","")))</f>
        <v/>
      </c>
      <c r="G185" s="17" t="str">
        <f aca="false">IF('Project Register'!$A185="","",IF(F185="","OK","Check"))</f>
        <v/>
      </c>
    </row>
    <row r="186" customFormat="false" ht="15" hidden="false" customHeight="false" outlineLevel="0" collapsed="false">
      <c r="A186" s="15" t="str">
        <f aca="false">IF('Project Register'!$A186="","",ROW('Project Register'!A186))</f>
        <v/>
      </c>
      <c r="B186" s="15" t="str">
        <f aca="false">IF('Project Register'!$A186="","",'Project Register'!B186)</f>
        <v/>
      </c>
      <c r="C186" s="15" t="str">
        <f aca="false">IF('Project Register'!$A186="","",IF(OR('Project Register'!E186="",'Project Register'!F186=""),"",IF('Project Register'!F186&lt;'Project Register'!E186,0,NETWORKDAYS.INTL('Project Register'!E186,'Project Register'!F186,"0000110",Holidays_Leave!$A$3:$A$62))))</f>
        <v/>
      </c>
      <c r="D186" s="15" t="str">
        <f aca="false">IF('Project Register'!$A186="","",('Project Register'!H186&lt;&gt;"")+('Project Register'!J186&lt;&gt;"")+('Project Register'!L186&lt;&gt;""))</f>
        <v/>
      </c>
      <c r="E186" s="16" t="str">
        <f aca="false">IF(OR(C186="",D186="",'Project Register'!G186=""),"",IF(OR(C186=0,D186=0),"",'Project Register'!G186/(C186*D186)))</f>
        <v/>
      </c>
      <c r="F186" s="15" t="str">
        <f aca="false">IF('Project Register'!$A186="","",TRIM(IF(OR('Project Register'!E186="",'Project Register'!F186=""),"Missing date. ","")&amp;IF(AND('Project Register'!E186&lt;&gt;"",'Project Register'!F186&lt;&gt;"",'Project Register'!F186&lt;'Project Register'!E186),"End before start. ","")&amp;IF(NOT(ISNUMBER('Project Register'!G186)),"Effort missing. ","")&amp;IF(D186=0,"No resource. ","")&amp;IF(AND('Project Register'!H186&lt;&gt;"",'Project Register'!I186=""),"Role 1 missing. ","")&amp;IF(AND('Project Register'!J186&lt;&gt;"",'Project Register'!K186=""),"Role 2 missing. ","")&amp;IF(AND('Project Register'!L186&lt;&gt;"",'Project Register'!M186=""),"Role 3 missing. ","")&amp;IF(OR(AND('Project Register'!H186&lt;&gt;"",'Project Register'!H186='Project Register'!J186),AND('Project Register'!H186&lt;&gt;"",'Project Register'!H186='Project Register'!L186),AND('Project Register'!J186&lt;&gt;"",'Project Register'!J186='Project Register'!L186)),"Same person listed twice. ","")&amp;IF(AND('Project Register'!H186&lt;&gt;"",COUNTIF(Resources!$A$2:$A$51,'Project Register'!H186)=0),"Resource 1 not in Resources sheet. ","")&amp;IF(AND('Project Register'!J186&lt;&gt;"",COUNTIF(Resources!$A$2:$A$51,'Project Register'!J186)=0),"Resource 2 not in Resources sheet. ","")&amp;IF(AND('Project Register'!L186&lt;&gt;"",COUNTIF(Resources!$A$2:$A$51,'Project Register'!L186)=0),"Resource 3 not in Resources sheet. ","")&amp;IF('Project Register'!O186="","Test Status missing. ","")&amp;IF(AND(ISNUMBER(E186),E186&gt;1),"This task alone needs over 100% per person. ","")&amp;IF(AND('Project Register'!Q186="Deployed in Live",'Project Register'!R186=""),"Release Date blank (import date will be used). ","")))</f>
        <v/>
      </c>
      <c r="G186" s="17" t="str">
        <f aca="false">IF('Project Register'!$A186="","",IF(F186="","OK","Check"))</f>
        <v/>
      </c>
    </row>
    <row r="187" customFormat="false" ht="15" hidden="false" customHeight="false" outlineLevel="0" collapsed="false">
      <c r="A187" s="15" t="str">
        <f aca="false">IF('Project Register'!$A187="","",ROW('Project Register'!A187))</f>
        <v/>
      </c>
      <c r="B187" s="15" t="str">
        <f aca="false">IF('Project Register'!$A187="","",'Project Register'!B187)</f>
        <v/>
      </c>
      <c r="C187" s="15" t="str">
        <f aca="false">IF('Project Register'!$A187="","",IF(OR('Project Register'!E187="",'Project Register'!F187=""),"",IF('Project Register'!F187&lt;'Project Register'!E187,0,NETWORKDAYS.INTL('Project Register'!E187,'Project Register'!F187,"0000110",Holidays_Leave!$A$3:$A$62))))</f>
        <v/>
      </c>
      <c r="D187" s="15" t="str">
        <f aca="false">IF('Project Register'!$A187="","",('Project Register'!H187&lt;&gt;"")+('Project Register'!J187&lt;&gt;"")+('Project Register'!L187&lt;&gt;""))</f>
        <v/>
      </c>
      <c r="E187" s="16" t="str">
        <f aca="false">IF(OR(C187="",D187="",'Project Register'!G187=""),"",IF(OR(C187=0,D187=0),"",'Project Register'!G187/(C187*D187)))</f>
        <v/>
      </c>
      <c r="F187" s="15" t="str">
        <f aca="false">IF('Project Register'!$A187="","",TRIM(IF(OR('Project Register'!E187="",'Project Register'!F187=""),"Missing date. ","")&amp;IF(AND('Project Register'!E187&lt;&gt;"",'Project Register'!F187&lt;&gt;"",'Project Register'!F187&lt;'Project Register'!E187),"End before start. ","")&amp;IF(NOT(ISNUMBER('Project Register'!G187)),"Effort missing. ","")&amp;IF(D187=0,"No resource. ","")&amp;IF(AND('Project Register'!H187&lt;&gt;"",'Project Register'!I187=""),"Role 1 missing. ","")&amp;IF(AND('Project Register'!J187&lt;&gt;"",'Project Register'!K187=""),"Role 2 missing. ","")&amp;IF(AND('Project Register'!L187&lt;&gt;"",'Project Register'!M187=""),"Role 3 missing. ","")&amp;IF(OR(AND('Project Register'!H187&lt;&gt;"",'Project Register'!H187='Project Register'!J187),AND('Project Register'!H187&lt;&gt;"",'Project Register'!H187='Project Register'!L187),AND('Project Register'!J187&lt;&gt;"",'Project Register'!J187='Project Register'!L187)),"Same person listed twice. ","")&amp;IF(AND('Project Register'!H187&lt;&gt;"",COUNTIF(Resources!$A$2:$A$51,'Project Register'!H187)=0),"Resource 1 not in Resources sheet. ","")&amp;IF(AND('Project Register'!J187&lt;&gt;"",COUNTIF(Resources!$A$2:$A$51,'Project Register'!J187)=0),"Resource 2 not in Resources sheet. ","")&amp;IF(AND('Project Register'!L187&lt;&gt;"",COUNTIF(Resources!$A$2:$A$51,'Project Register'!L187)=0),"Resource 3 not in Resources sheet. ","")&amp;IF('Project Register'!O187="","Test Status missing. ","")&amp;IF(AND(ISNUMBER(E187),E187&gt;1),"This task alone needs over 100% per person. ","")&amp;IF(AND('Project Register'!Q187="Deployed in Live",'Project Register'!R187=""),"Release Date blank (import date will be used). ","")))</f>
        <v/>
      </c>
      <c r="G187" s="17" t="str">
        <f aca="false">IF('Project Register'!$A187="","",IF(F187="","OK","Check"))</f>
        <v/>
      </c>
    </row>
    <row r="188" customFormat="false" ht="15" hidden="false" customHeight="false" outlineLevel="0" collapsed="false">
      <c r="A188" s="15" t="str">
        <f aca="false">IF('Project Register'!$A188="","",ROW('Project Register'!A188))</f>
        <v/>
      </c>
      <c r="B188" s="15" t="str">
        <f aca="false">IF('Project Register'!$A188="","",'Project Register'!B188)</f>
        <v/>
      </c>
      <c r="C188" s="15" t="str">
        <f aca="false">IF('Project Register'!$A188="","",IF(OR('Project Register'!E188="",'Project Register'!F188=""),"",IF('Project Register'!F188&lt;'Project Register'!E188,0,NETWORKDAYS.INTL('Project Register'!E188,'Project Register'!F188,"0000110",Holidays_Leave!$A$3:$A$62))))</f>
        <v/>
      </c>
      <c r="D188" s="15" t="str">
        <f aca="false">IF('Project Register'!$A188="","",('Project Register'!H188&lt;&gt;"")+('Project Register'!J188&lt;&gt;"")+('Project Register'!L188&lt;&gt;""))</f>
        <v/>
      </c>
      <c r="E188" s="16" t="str">
        <f aca="false">IF(OR(C188="",D188="",'Project Register'!G188=""),"",IF(OR(C188=0,D188=0),"",'Project Register'!G188/(C188*D188)))</f>
        <v/>
      </c>
      <c r="F188" s="15" t="str">
        <f aca="false">IF('Project Register'!$A188="","",TRIM(IF(OR('Project Register'!E188="",'Project Register'!F188=""),"Missing date. ","")&amp;IF(AND('Project Register'!E188&lt;&gt;"",'Project Register'!F188&lt;&gt;"",'Project Register'!F188&lt;'Project Register'!E188),"End before start. ","")&amp;IF(NOT(ISNUMBER('Project Register'!G188)),"Effort missing. ","")&amp;IF(D188=0,"No resource. ","")&amp;IF(AND('Project Register'!H188&lt;&gt;"",'Project Register'!I188=""),"Role 1 missing. ","")&amp;IF(AND('Project Register'!J188&lt;&gt;"",'Project Register'!K188=""),"Role 2 missing. ","")&amp;IF(AND('Project Register'!L188&lt;&gt;"",'Project Register'!M188=""),"Role 3 missing. ","")&amp;IF(OR(AND('Project Register'!H188&lt;&gt;"",'Project Register'!H188='Project Register'!J188),AND('Project Register'!H188&lt;&gt;"",'Project Register'!H188='Project Register'!L188),AND('Project Register'!J188&lt;&gt;"",'Project Register'!J188='Project Register'!L188)),"Same person listed twice. ","")&amp;IF(AND('Project Register'!H188&lt;&gt;"",COUNTIF(Resources!$A$2:$A$51,'Project Register'!H188)=0),"Resource 1 not in Resources sheet. ","")&amp;IF(AND('Project Register'!J188&lt;&gt;"",COUNTIF(Resources!$A$2:$A$51,'Project Register'!J188)=0),"Resource 2 not in Resources sheet. ","")&amp;IF(AND('Project Register'!L188&lt;&gt;"",COUNTIF(Resources!$A$2:$A$51,'Project Register'!L188)=0),"Resource 3 not in Resources sheet. ","")&amp;IF('Project Register'!O188="","Test Status missing. ","")&amp;IF(AND(ISNUMBER(E188),E188&gt;1),"This task alone needs over 100% per person. ","")&amp;IF(AND('Project Register'!Q188="Deployed in Live",'Project Register'!R188=""),"Release Date blank (import date will be used). ","")))</f>
        <v/>
      </c>
      <c r="G188" s="17" t="str">
        <f aca="false">IF('Project Register'!$A188="","",IF(F188="","OK","Check"))</f>
        <v/>
      </c>
    </row>
    <row r="189" customFormat="false" ht="15" hidden="false" customHeight="false" outlineLevel="0" collapsed="false">
      <c r="A189" s="15" t="str">
        <f aca="false">IF('Project Register'!$A189="","",ROW('Project Register'!A189))</f>
        <v/>
      </c>
      <c r="B189" s="15" t="str">
        <f aca="false">IF('Project Register'!$A189="","",'Project Register'!B189)</f>
        <v/>
      </c>
      <c r="C189" s="15" t="str">
        <f aca="false">IF('Project Register'!$A189="","",IF(OR('Project Register'!E189="",'Project Register'!F189=""),"",IF('Project Register'!F189&lt;'Project Register'!E189,0,NETWORKDAYS.INTL('Project Register'!E189,'Project Register'!F189,"0000110",Holidays_Leave!$A$3:$A$62))))</f>
        <v/>
      </c>
      <c r="D189" s="15" t="str">
        <f aca="false">IF('Project Register'!$A189="","",('Project Register'!H189&lt;&gt;"")+('Project Register'!J189&lt;&gt;"")+('Project Register'!L189&lt;&gt;""))</f>
        <v/>
      </c>
      <c r="E189" s="16" t="str">
        <f aca="false">IF(OR(C189="",D189="",'Project Register'!G189=""),"",IF(OR(C189=0,D189=0),"",'Project Register'!G189/(C189*D189)))</f>
        <v/>
      </c>
      <c r="F189" s="15" t="str">
        <f aca="false">IF('Project Register'!$A189="","",TRIM(IF(OR('Project Register'!E189="",'Project Register'!F189=""),"Missing date. ","")&amp;IF(AND('Project Register'!E189&lt;&gt;"",'Project Register'!F189&lt;&gt;"",'Project Register'!F189&lt;'Project Register'!E189),"End before start. ","")&amp;IF(NOT(ISNUMBER('Project Register'!G189)),"Effort missing. ","")&amp;IF(D189=0,"No resource. ","")&amp;IF(AND('Project Register'!H189&lt;&gt;"",'Project Register'!I189=""),"Role 1 missing. ","")&amp;IF(AND('Project Register'!J189&lt;&gt;"",'Project Register'!K189=""),"Role 2 missing. ","")&amp;IF(AND('Project Register'!L189&lt;&gt;"",'Project Register'!M189=""),"Role 3 missing. ","")&amp;IF(OR(AND('Project Register'!H189&lt;&gt;"",'Project Register'!H189='Project Register'!J189),AND('Project Register'!H189&lt;&gt;"",'Project Register'!H189='Project Register'!L189),AND('Project Register'!J189&lt;&gt;"",'Project Register'!J189='Project Register'!L189)),"Same person listed twice. ","")&amp;IF(AND('Project Register'!H189&lt;&gt;"",COUNTIF(Resources!$A$2:$A$51,'Project Register'!H189)=0),"Resource 1 not in Resources sheet. ","")&amp;IF(AND('Project Register'!J189&lt;&gt;"",COUNTIF(Resources!$A$2:$A$51,'Project Register'!J189)=0),"Resource 2 not in Resources sheet. ","")&amp;IF(AND('Project Register'!L189&lt;&gt;"",COUNTIF(Resources!$A$2:$A$51,'Project Register'!L189)=0),"Resource 3 not in Resources sheet. ","")&amp;IF('Project Register'!O189="","Test Status missing. ","")&amp;IF(AND(ISNUMBER(E189),E189&gt;1),"This task alone needs over 100% per person. ","")&amp;IF(AND('Project Register'!Q189="Deployed in Live",'Project Register'!R189=""),"Release Date blank (import date will be used). ","")))</f>
        <v/>
      </c>
      <c r="G189" s="17" t="str">
        <f aca="false">IF('Project Register'!$A189="","",IF(F189="","OK","Check"))</f>
        <v/>
      </c>
    </row>
    <row r="190" customFormat="false" ht="15" hidden="false" customHeight="false" outlineLevel="0" collapsed="false">
      <c r="A190" s="15" t="str">
        <f aca="false">IF('Project Register'!$A190="","",ROW('Project Register'!A190))</f>
        <v/>
      </c>
      <c r="B190" s="15" t="str">
        <f aca="false">IF('Project Register'!$A190="","",'Project Register'!B190)</f>
        <v/>
      </c>
      <c r="C190" s="15" t="str">
        <f aca="false">IF('Project Register'!$A190="","",IF(OR('Project Register'!E190="",'Project Register'!F190=""),"",IF('Project Register'!F190&lt;'Project Register'!E190,0,NETWORKDAYS.INTL('Project Register'!E190,'Project Register'!F190,"0000110",Holidays_Leave!$A$3:$A$62))))</f>
        <v/>
      </c>
      <c r="D190" s="15" t="str">
        <f aca="false">IF('Project Register'!$A190="","",('Project Register'!H190&lt;&gt;"")+('Project Register'!J190&lt;&gt;"")+('Project Register'!L190&lt;&gt;""))</f>
        <v/>
      </c>
      <c r="E190" s="16" t="str">
        <f aca="false">IF(OR(C190="",D190="",'Project Register'!G190=""),"",IF(OR(C190=0,D190=0),"",'Project Register'!G190/(C190*D190)))</f>
        <v/>
      </c>
      <c r="F190" s="15" t="str">
        <f aca="false">IF('Project Register'!$A190="","",TRIM(IF(OR('Project Register'!E190="",'Project Register'!F190=""),"Missing date. ","")&amp;IF(AND('Project Register'!E190&lt;&gt;"",'Project Register'!F190&lt;&gt;"",'Project Register'!F190&lt;'Project Register'!E190),"End before start. ","")&amp;IF(NOT(ISNUMBER('Project Register'!G190)),"Effort missing. ","")&amp;IF(D190=0,"No resource. ","")&amp;IF(AND('Project Register'!H190&lt;&gt;"",'Project Register'!I190=""),"Role 1 missing. ","")&amp;IF(AND('Project Register'!J190&lt;&gt;"",'Project Register'!K190=""),"Role 2 missing. ","")&amp;IF(AND('Project Register'!L190&lt;&gt;"",'Project Register'!M190=""),"Role 3 missing. ","")&amp;IF(OR(AND('Project Register'!H190&lt;&gt;"",'Project Register'!H190='Project Register'!J190),AND('Project Register'!H190&lt;&gt;"",'Project Register'!H190='Project Register'!L190),AND('Project Register'!J190&lt;&gt;"",'Project Register'!J190='Project Register'!L190)),"Same person listed twice. ","")&amp;IF(AND('Project Register'!H190&lt;&gt;"",COUNTIF(Resources!$A$2:$A$51,'Project Register'!H190)=0),"Resource 1 not in Resources sheet. ","")&amp;IF(AND('Project Register'!J190&lt;&gt;"",COUNTIF(Resources!$A$2:$A$51,'Project Register'!J190)=0),"Resource 2 not in Resources sheet. ","")&amp;IF(AND('Project Register'!L190&lt;&gt;"",COUNTIF(Resources!$A$2:$A$51,'Project Register'!L190)=0),"Resource 3 not in Resources sheet. ","")&amp;IF('Project Register'!O190="","Test Status missing. ","")&amp;IF(AND(ISNUMBER(E190),E190&gt;1),"This task alone needs over 100% per person. ","")&amp;IF(AND('Project Register'!Q190="Deployed in Live",'Project Register'!R190=""),"Release Date blank (import date will be used). ","")))</f>
        <v/>
      </c>
      <c r="G190" s="17" t="str">
        <f aca="false">IF('Project Register'!$A190="","",IF(F190="","OK","Check"))</f>
        <v/>
      </c>
    </row>
    <row r="191" customFormat="false" ht="15" hidden="false" customHeight="false" outlineLevel="0" collapsed="false">
      <c r="A191" s="15" t="str">
        <f aca="false">IF('Project Register'!$A191="","",ROW('Project Register'!A191))</f>
        <v/>
      </c>
      <c r="B191" s="15" t="str">
        <f aca="false">IF('Project Register'!$A191="","",'Project Register'!B191)</f>
        <v/>
      </c>
      <c r="C191" s="15" t="str">
        <f aca="false">IF('Project Register'!$A191="","",IF(OR('Project Register'!E191="",'Project Register'!F191=""),"",IF('Project Register'!F191&lt;'Project Register'!E191,0,NETWORKDAYS.INTL('Project Register'!E191,'Project Register'!F191,"0000110",Holidays_Leave!$A$3:$A$62))))</f>
        <v/>
      </c>
      <c r="D191" s="15" t="str">
        <f aca="false">IF('Project Register'!$A191="","",('Project Register'!H191&lt;&gt;"")+('Project Register'!J191&lt;&gt;"")+('Project Register'!L191&lt;&gt;""))</f>
        <v/>
      </c>
      <c r="E191" s="16" t="str">
        <f aca="false">IF(OR(C191="",D191="",'Project Register'!G191=""),"",IF(OR(C191=0,D191=0),"",'Project Register'!G191/(C191*D191)))</f>
        <v/>
      </c>
      <c r="F191" s="15" t="str">
        <f aca="false">IF('Project Register'!$A191="","",TRIM(IF(OR('Project Register'!E191="",'Project Register'!F191=""),"Missing date. ","")&amp;IF(AND('Project Register'!E191&lt;&gt;"",'Project Register'!F191&lt;&gt;"",'Project Register'!F191&lt;'Project Register'!E191),"End before start. ","")&amp;IF(NOT(ISNUMBER('Project Register'!G191)),"Effort missing. ","")&amp;IF(D191=0,"No resource. ","")&amp;IF(AND('Project Register'!H191&lt;&gt;"",'Project Register'!I191=""),"Role 1 missing. ","")&amp;IF(AND('Project Register'!J191&lt;&gt;"",'Project Register'!K191=""),"Role 2 missing. ","")&amp;IF(AND('Project Register'!L191&lt;&gt;"",'Project Register'!M191=""),"Role 3 missing. ","")&amp;IF(OR(AND('Project Register'!H191&lt;&gt;"",'Project Register'!H191='Project Register'!J191),AND('Project Register'!H191&lt;&gt;"",'Project Register'!H191='Project Register'!L191),AND('Project Register'!J191&lt;&gt;"",'Project Register'!J191='Project Register'!L191)),"Same person listed twice. ","")&amp;IF(AND('Project Register'!H191&lt;&gt;"",COUNTIF(Resources!$A$2:$A$51,'Project Register'!H191)=0),"Resource 1 not in Resources sheet. ","")&amp;IF(AND('Project Register'!J191&lt;&gt;"",COUNTIF(Resources!$A$2:$A$51,'Project Register'!J191)=0),"Resource 2 not in Resources sheet. ","")&amp;IF(AND('Project Register'!L191&lt;&gt;"",COUNTIF(Resources!$A$2:$A$51,'Project Register'!L191)=0),"Resource 3 not in Resources sheet. ","")&amp;IF('Project Register'!O191="","Test Status missing. ","")&amp;IF(AND(ISNUMBER(E191),E191&gt;1),"This task alone needs over 100% per person. ","")&amp;IF(AND('Project Register'!Q191="Deployed in Live",'Project Register'!R191=""),"Release Date blank (import date will be used). ","")))</f>
        <v/>
      </c>
      <c r="G191" s="17" t="str">
        <f aca="false">IF('Project Register'!$A191="","",IF(F191="","OK","Check"))</f>
        <v/>
      </c>
    </row>
    <row r="192" customFormat="false" ht="15" hidden="false" customHeight="false" outlineLevel="0" collapsed="false">
      <c r="A192" s="15" t="str">
        <f aca="false">IF('Project Register'!$A192="","",ROW('Project Register'!A192))</f>
        <v/>
      </c>
      <c r="B192" s="15" t="str">
        <f aca="false">IF('Project Register'!$A192="","",'Project Register'!B192)</f>
        <v/>
      </c>
      <c r="C192" s="15" t="str">
        <f aca="false">IF('Project Register'!$A192="","",IF(OR('Project Register'!E192="",'Project Register'!F192=""),"",IF('Project Register'!F192&lt;'Project Register'!E192,0,NETWORKDAYS.INTL('Project Register'!E192,'Project Register'!F192,"0000110",Holidays_Leave!$A$3:$A$62))))</f>
        <v/>
      </c>
      <c r="D192" s="15" t="str">
        <f aca="false">IF('Project Register'!$A192="","",('Project Register'!H192&lt;&gt;"")+('Project Register'!J192&lt;&gt;"")+('Project Register'!L192&lt;&gt;""))</f>
        <v/>
      </c>
      <c r="E192" s="16" t="str">
        <f aca="false">IF(OR(C192="",D192="",'Project Register'!G192=""),"",IF(OR(C192=0,D192=0),"",'Project Register'!G192/(C192*D192)))</f>
        <v/>
      </c>
      <c r="F192" s="15" t="str">
        <f aca="false">IF('Project Register'!$A192="","",TRIM(IF(OR('Project Register'!E192="",'Project Register'!F192=""),"Missing date. ","")&amp;IF(AND('Project Register'!E192&lt;&gt;"",'Project Register'!F192&lt;&gt;"",'Project Register'!F192&lt;'Project Register'!E192),"End before start. ","")&amp;IF(NOT(ISNUMBER('Project Register'!G192)),"Effort missing. ","")&amp;IF(D192=0,"No resource. ","")&amp;IF(AND('Project Register'!H192&lt;&gt;"",'Project Register'!I192=""),"Role 1 missing. ","")&amp;IF(AND('Project Register'!J192&lt;&gt;"",'Project Register'!K192=""),"Role 2 missing. ","")&amp;IF(AND('Project Register'!L192&lt;&gt;"",'Project Register'!M192=""),"Role 3 missing. ","")&amp;IF(OR(AND('Project Register'!H192&lt;&gt;"",'Project Register'!H192='Project Register'!J192),AND('Project Register'!H192&lt;&gt;"",'Project Register'!H192='Project Register'!L192),AND('Project Register'!J192&lt;&gt;"",'Project Register'!J192='Project Register'!L192)),"Same person listed twice. ","")&amp;IF(AND('Project Register'!H192&lt;&gt;"",COUNTIF(Resources!$A$2:$A$51,'Project Register'!H192)=0),"Resource 1 not in Resources sheet. ","")&amp;IF(AND('Project Register'!J192&lt;&gt;"",COUNTIF(Resources!$A$2:$A$51,'Project Register'!J192)=0),"Resource 2 not in Resources sheet. ","")&amp;IF(AND('Project Register'!L192&lt;&gt;"",COUNTIF(Resources!$A$2:$A$51,'Project Register'!L192)=0),"Resource 3 not in Resources sheet. ","")&amp;IF('Project Register'!O192="","Test Status missing. ","")&amp;IF(AND(ISNUMBER(E192),E192&gt;1),"This task alone needs over 100% per person. ","")&amp;IF(AND('Project Register'!Q192="Deployed in Live",'Project Register'!R192=""),"Release Date blank (import date will be used). ","")))</f>
        <v/>
      </c>
      <c r="G192" s="17" t="str">
        <f aca="false">IF('Project Register'!$A192="","",IF(F192="","OK","Check"))</f>
        <v/>
      </c>
    </row>
    <row r="193" customFormat="false" ht="15" hidden="false" customHeight="false" outlineLevel="0" collapsed="false">
      <c r="A193" s="15" t="str">
        <f aca="false">IF('Project Register'!$A193="","",ROW('Project Register'!A193))</f>
        <v/>
      </c>
      <c r="B193" s="15" t="str">
        <f aca="false">IF('Project Register'!$A193="","",'Project Register'!B193)</f>
        <v/>
      </c>
      <c r="C193" s="15" t="str">
        <f aca="false">IF('Project Register'!$A193="","",IF(OR('Project Register'!E193="",'Project Register'!F193=""),"",IF('Project Register'!F193&lt;'Project Register'!E193,0,NETWORKDAYS.INTL('Project Register'!E193,'Project Register'!F193,"0000110",Holidays_Leave!$A$3:$A$62))))</f>
        <v/>
      </c>
      <c r="D193" s="15" t="str">
        <f aca="false">IF('Project Register'!$A193="","",('Project Register'!H193&lt;&gt;"")+('Project Register'!J193&lt;&gt;"")+('Project Register'!L193&lt;&gt;""))</f>
        <v/>
      </c>
      <c r="E193" s="16" t="str">
        <f aca="false">IF(OR(C193="",D193="",'Project Register'!G193=""),"",IF(OR(C193=0,D193=0),"",'Project Register'!G193/(C193*D193)))</f>
        <v/>
      </c>
      <c r="F193" s="15" t="str">
        <f aca="false">IF('Project Register'!$A193="","",TRIM(IF(OR('Project Register'!E193="",'Project Register'!F193=""),"Missing date. ","")&amp;IF(AND('Project Register'!E193&lt;&gt;"",'Project Register'!F193&lt;&gt;"",'Project Register'!F193&lt;'Project Register'!E193),"End before start. ","")&amp;IF(NOT(ISNUMBER('Project Register'!G193)),"Effort missing. ","")&amp;IF(D193=0,"No resource. ","")&amp;IF(AND('Project Register'!H193&lt;&gt;"",'Project Register'!I193=""),"Role 1 missing. ","")&amp;IF(AND('Project Register'!J193&lt;&gt;"",'Project Register'!K193=""),"Role 2 missing. ","")&amp;IF(AND('Project Register'!L193&lt;&gt;"",'Project Register'!M193=""),"Role 3 missing. ","")&amp;IF(OR(AND('Project Register'!H193&lt;&gt;"",'Project Register'!H193='Project Register'!J193),AND('Project Register'!H193&lt;&gt;"",'Project Register'!H193='Project Register'!L193),AND('Project Register'!J193&lt;&gt;"",'Project Register'!J193='Project Register'!L193)),"Same person listed twice. ","")&amp;IF(AND('Project Register'!H193&lt;&gt;"",COUNTIF(Resources!$A$2:$A$51,'Project Register'!H193)=0),"Resource 1 not in Resources sheet. ","")&amp;IF(AND('Project Register'!J193&lt;&gt;"",COUNTIF(Resources!$A$2:$A$51,'Project Register'!J193)=0),"Resource 2 not in Resources sheet. ","")&amp;IF(AND('Project Register'!L193&lt;&gt;"",COUNTIF(Resources!$A$2:$A$51,'Project Register'!L193)=0),"Resource 3 not in Resources sheet. ","")&amp;IF('Project Register'!O193="","Test Status missing. ","")&amp;IF(AND(ISNUMBER(E193),E193&gt;1),"This task alone needs over 100% per person. ","")&amp;IF(AND('Project Register'!Q193="Deployed in Live",'Project Register'!R193=""),"Release Date blank (import date will be used). ","")))</f>
        <v/>
      </c>
      <c r="G193" s="17" t="str">
        <f aca="false">IF('Project Register'!$A193="","",IF(F193="","OK","Check"))</f>
        <v/>
      </c>
    </row>
    <row r="194" customFormat="false" ht="15" hidden="false" customHeight="false" outlineLevel="0" collapsed="false">
      <c r="A194" s="15" t="str">
        <f aca="false">IF('Project Register'!$A194="","",ROW('Project Register'!A194))</f>
        <v/>
      </c>
      <c r="B194" s="15" t="str">
        <f aca="false">IF('Project Register'!$A194="","",'Project Register'!B194)</f>
        <v/>
      </c>
      <c r="C194" s="15" t="str">
        <f aca="false">IF('Project Register'!$A194="","",IF(OR('Project Register'!E194="",'Project Register'!F194=""),"",IF('Project Register'!F194&lt;'Project Register'!E194,0,NETWORKDAYS.INTL('Project Register'!E194,'Project Register'!F194,"0000110",Holidays_Leave!$A$3:$A$62))))</f>
        <v/>
      </c>
      <c r="D194" s="15" t="str">
        <f aca="false">IF('Project Register'!$A194="","",('Project Register'!H194&lt;&gt;"")+('Project Register'!J194&lt;&gt;"")+('Project Register'!L194&lt;&gt;""))</f>
        <v/>
      </c>
      <c r="E194" s="16" t="str">
        <f aca="false">IF(OR(C194="",D194="",'Project Register'!G194=""),"",IF(OR(C194=0,D194=0),"",'Project Register'!G194/(C194*D194)))</f>
        <v/>
      </c>
      <c r="F194" s="15" t="str">
        <f aca="false">IF('Project Register'!$A194="","",TRIM(IF(OR('Project Register'!E194="",'Project Register'!F194=""),"Missing date. ","")&amp;IF(AND('Project Register'!E194&lt;&gt;"",'Project Register'!F194&lt;&gt;"",'Project Register'!F194&lt;'Project Register'!E194),"End before start. ","")&amp;IF(NOT(ISNUMBER('Project Register'!G194)),"Effort missing. ","")&amp;IF(D194=0,"No resource. ","")&amp;IF(AND('Project Register'!H194&lt;&gt;"",'Project Register'!I194=""),"Role 1 missing. ","")&amp;IF(AND('Project Register'!J194&lt;&gt;"",'Project Register'!K194=""),"Role 2 missing. ","")&amp;IF(AND('Project Register'!L194&lt;&gt;"",'Project Register'!M194=""),"Role 3 missing. ","")&amp;IF(OR(AND('Project Register'!H194&lt;&gt;"",'Project Register'!H194='Project Register'!J194),AND('Project Register'!H194&lt;&gt;"",'Project Register'!H194='Project Register'!L194),AND('Project Register'!J194&lt;&gt;"",'Project Register'!J194='Project Register'!L194)),"Same person listed twice. ","")&amp;IF(AND('Project Register'!H194&lt;&gt;"",COUNTIF(Resources!$A$2:$A$51,'Project Register'!H194)=0),"Resource 1 not in Resources sheet. ","")&amp;IF(AND('Project Register'!J194&lt;&gt;"",COUNTIF(Resources!$A$2:$A$51,'Project Register'!J194)=0),"Resource 2 not in Resources sheet. ","")&amp;IF(AND('Project Register'!L194&lt;&gt;"",COUNTIF(Resources!$A$2:$A$51,'Project Register'!L194)=0),"Resource 3 not in Resources sheet. ","")&amp;IF('Project Register'!O194="","Test Status missing. ","")&amp;IF(AND(ISNUMBER(E194),E194&gt;1),"This task alone needs over 100% per person. ","")&amp;IF(AND('Project Register'!Q194="Deployed in Live",'Project Register'!R194=""),"Release Date blank (import date will be used). ","")))</f>
        <v/>
      </c>
      <c r="G194" s="17" t="str">
        <f aca="false">IF('Project Register'!$A194="","",IF(F194="","OK","Check"))</f>
        <v/>
      </c>
    </row>
    <row r="195" customFormat="false" ht="15" hidden="false" customHeight="false" outlineLevel="0" collapsed="false">
      <c r="A195" s="15" t="str">
        <f aca="false">IF('Project Register'!$A195="","",ROW('Project Register'!A195))</f>
        <v/>
      </c>
      <c r="B195" s="15" t="str">
        <f aca="false">IF('Project Register'!$A195="","",'Project Register'!B195)</f>
        <v/>
      </c>
      <c r="C195" s="15" t="str">
        <f aca="false">IF('Project Register'!$A195="","",IF(OR('Project Register'!E195="",'Project Register'!F195=""),"",IF('Project Register'!F195&lt;'Project Register'!E195,0,NETWORKDAYS.INTL('Project Register'!E195,'Project Register'!F195,"0000110",Holidays_Leave!$A$3:$A$62))))</f>
        <v/>
      </c>
      <c r="D195" s="15" t="str">
        <f aca="false">IF('Project Register'!$A195="","",('Project Register'!H195&lt;&gt;"")+('Project Register'!J195&lt;&gt;"")+('Project Register'!L195&lt;&gt;""))</f>
        <v/>
      </c>
      <c r="E195" s="16" t="str">
        <f aca="false">IF(OR(C195="",D195="",'Project Register'!G195=""),"",IF(OR(C195=0,D195=0),"",'Project Register'!G195/(C195*D195)))</f>
        <v/>
      </c>
      <c r="F195" s="15" t="str">
        <f aca="false">IF('Project Register'!$A195="","",TRIM(IF(OR('Project Register'!E195="",'Project Register'!F195=""),"Missing date. ","")&amp;IF(AND('Project Register'!E195&lt;&gt;"",'Project Register'!F195&lt;&gt;"",'Project Register'!F195&lt;'Project Register'!E195),"End before start. ","")&amp;IF(NOT(ISNUMBER('Project Register'!G195)),"Effort missing. ","")&amp;IF(D195=0,"No resource. ","")&amp;IF(AND('Project Register'!H195&lt;&gt;"",'Project Register'!I195=""),"Role 1 missing. ","")&amp;IF(AND('Project Register'!J195&lt;&gt;"",'Project Register'!K195=""),"Role 2 missing. ","")&amp;IF(AND('Project Register'!L195&lt;&gt;"",'Project Register'!M195=""),"Role 3 missing. ","")&amp;IF(OR(AND('Project Register'!H195&lt;&gt;"",'Project Register'!H195='Project Register'!J195),AND('Project Register'!H195&lt;&gt;"",'Project Register'!H195='Project Register'!L195),AND('Project Register'!J195&lt;&gt;"",'Project Register'!J195='Project Register'!L195)),"Same person listed twice. ","")&amp;IF(AND('Project Register'!H195&lt;&gt;"",COUNTIF(Resources!$A$2:$A$51,'Project Register'!H195)=0),"Resource 1 not in Resources sheet. ","")&amp;IF(AND('Project Register'!J195&lt;&gt;"",COUNTIF(Resources!$A$2:$A$51,'Project Register'!J195)=0),"Resource 2 not in Resources sheet. ","")&amp;IF(AND('Project Register'!L195&lt;&gt;"",COUNTIF(Resources!$A$2:$A$51,'Project Register'!L195)=0),"Resource 3 not in Resources sheet. ","")&amp;IF('Project Register'!O195="","Test Status missing. ","")&amp;IF(AND(ISNUMBER(E195),E195&gt;1),"This task alone needs over 100% per person. ","")&amp;IF(AND('Project Register'!Q195="Deployed in Live",'Project Register'!R195=""),"Release Date blank (import date will be used). ","")))</f>
        <v/>
      </c>
      <c r="G195" s="17" t="str">
        <f aca="false">IF('Project Register'!$A195="","",IF(F195="","OK","Check"))</f>
        <v/>
      </c>
    </row>
    <row r="196" customFormat="false" ht="15" hidden="false" customHeight="false" outlineLevel="0" collapsed="false">
      <c r="A196" s="15" t="str">
        <f aca="false">IF('Project Register'!$A196="","",ROW('Project Register'!A196))</f>
        <v/>
      </c>
      <c r="B196" s="15" t="str">
        <f aca="false">IF('Project Register'!$A196="","",'Project Register'!B196)</f>
        <v/>
      </c>
      <c r="C196" s="15" t="str">
        <f aca="false">IF('Project Register'!$A196="","",IF(OR('Project Register'!E196="",'Project Register'!F196=""),"",IF('Project Register'!F196&lt;'Project Register'!E196,0,NETWORKDAYS.INTL('Project Register'!E196,'Project Register'!F196,"0000110",Holidays_Leave!$A$3:$A$62))))</f>
        <v/>
      </c>
      <c r="D196" s="15" t="str">
        <f aca="false">IF('Project Register'!$A196="","",('Project Register'!H196&lt;&gt;"")+('Project Register'!J196&lt;&gt;"")+('Project Register'!L196&lt;&gt;""))</f>
        <v/>
      </c>
      <c r="E196" s="16" t="str">
        <f aca="false">IF(OR(C196="",D196="",'Project Register'!G196=""),"",IF(OR(C196=0,D196=0),"",'Project Register'!G196/(C196*D196)))</f>
        <v/>
      </c>
      <c r="F196" s="15" t="str">
        <f aca="false">IF('Project Register'!$A196="","",TRIM(IF(OR('Project Register'!E196="",'Project Register'!F196=""),"Missing date. ","")&amp;IF(AND('Project Register'!E196&lt;&gt;"",'Project Register'!F196&lt;&gt;"",'Project Register'!F196&lt;'Project Register'!E196),"End before start. ","")&amp;IF(NOT(ISNUMBER('Project Register'!G196)),"Effort missing. ","")&amp;IF(D196=0,"No resource. ","")&amp;IF(AND('Project Register'!H196&lt;&gt;"",'Project Register'!I196=""),"Role 1 missing. ","")&amp;IF(AND('Project Register'!J196&lt;&gt;"",'Project Register'!K196=""),"Role 2 missing. ","")&amp;IF(AND('Project Register'!L196&lt;&gt;"",'Project Register'!M196=""),"Role 3 missing. ","")&amp;IF(OR(AND('Project Register'!H196&lt;&gt;"",'Project Register'!H196='Project Register'!J196),AND('Project Register'!H196&lt;&gt;"",'Project Register'!H196='Project Register'!L196),AND('Project Register'!J196&lt;&gt;"",'Project Register'!J196='Project Register'!L196)),"Same person listed twice. ","")&amp;IF(AND('Project Register'!H196&lt;&gt;"",COUNTIF(Resources!$A$2:$A$51,'Project Register'!H196)=0),"Resource 1 not in Resources sheet. ","")&amp;IF(AND('Project Register'!J196&lt;&gt;"",COUNTIF(Resources!$A$2:$A$51,'Project Register'!J196)=0),"Resource 2 not in Resources sheet. ","")&amp;IF(AND('Project Register'!L196&lt;&gt;"",COUNTIF(Resources!$A$2:$A$51,'Project Register'!L196)=0),"Resource 3 not in Resources sheet. ","")&amp;IF('Project Register'!O196="","Test Status missing. ","")&amp;IF(AND(ISNUMBER(E196),E196&gt;1),"This task alone needs over 100% per person. ","")&amp;IF(AND('Project Register'!Q196="Deployed in Live",'Project Register'!R196=""),"Release Date blank (import date will be used). ","")))</f>
        <v/>
      </c>
      <c r="G196" s="17" t="str">
        <f aca="false">IF('Project Register'!$A196="","",IF(F196="","OK","Check"))</f>
        <v/>
      </c>
    </row>
    <row r="197" customFormat="false" ht="15" hidden="false" customHeight="false" outlineLevel="0" collapsed="false">
      <c r="A197" s="15" t="str">
        <f aca="false">IF('Project Register'!$A197="","",ROW('Project Register'!A197))</f>
        <v/>
      </c>
      <c r="B197" s="15" t="str">
        <f aca="false">IF('Project Register'!$A197="","",'Project Register'!B197)</f>
        <v/>
      </c>
      <c r="C197" s="15" t="str">
        <f aca="false">IF('Project Register'!$A197="","",IF(OR('Project Register'!E197="",'Project Register'!F197=""),"",IF('Project Register'!F197&lt;'Project Register'!E197,0,NETWORKDAYS.INTL('Project Register'!E197,'Project Register'!F197,"0000110",Holidays_Leave!$A$3:$A$62))))</f>
        <v/>
      </c>
      <c r="D197" s="15" t="str">
        <f aca="false">IF('Project Register'!$A197="","",('Project Register'!H197&lt;&gt;"")+('Project Register'!J197&lt;&gt;"")+('Project Register'!L197&lt;&gt;""))</f>
        <v/>
      </c>
      <c r="E197" s="16" t="str">
        <f aca="false">IF(OR(C197="",D197="",'Project Register'!G197=""),"",IF(OR(C197=0,D197=0),"",'Project Register'!G197/(C197*D197)))</f>
        <v/>
      </c>
      <c r="F197" s="15" t="str">
        <f aca="false">IF('Project Register'!$A197="","",TRIM(IF(OR('Project Register'!E197="",'Project Register'!F197=""),"Missing date. ","")&amp;IF(AND('Project Register'!E197&lt;&gt;"",'Project Register'!F197&lt;&gt;"",'Project Register'!F197&lt;'Project Register'!E197),"End before start. ","")&amp;IF(NOT(ISNUMBER('Project Register'!G197)),"Effort missing. ","")&amp;IF(D197=0,"No resource. ","")&amp;IF(AND('Project Register'!H197&lt;&gt;"",'Project Register'!I197=""),"Role 1 missing. ","")&amp;IF(AND('Project Register'!J197&lt;&gt;"",'Project Register'!K197=""),"Role 2 missing. ","")&amp;IF(AND('Project Register'!L197&lt;&gt;"",'Project Register'!M197=""),"Role 3 missing. ","")&amp;IF(OR(AND('Project Register'!H197&lt;&gt;"",'Project Register'!H197='Project Register'!J197),AND('Project Register'!H197&lt;&gt;"",'Project Register'!H197='Project Register'!L197),AND('Project Register'!J197&lt;&gt;"",'Project Register'!J197='Project Register'!L197)),"Same person listed twice. ","")&amp;IF(AND('Project Register'!H197&lt;&gt;"",COUNTIF(Resources!$A$2:$A$51,'Project Register'!H197)=0),"Resource 1 not in Resources sheet. ","")&amp;IF(AND('Project Register'!J197&lt;&gt;"",COUNTIF(Resources!$A$2:$A$51,'Project Register'!J197)=0),"Resource 2 not in Resources sheet. ","")&amp;IF(AND('Project Register'!L197&lt;&gt;"",COUNTIF(Resources!$A$2:$A$51,'Project Register'!L197)=0),"Resource 3 not in Resources sheet. ","")&amp;IF('Project Register'!O197="","Test Status missing. ","")&amp;IF(AND(ISNUMBER(E197),E197&gt;1),"This task alone needs over 100% per person. ","")&amp;IF(AND('Project Register'!Q197="Deployed in Live",'Project Register'!R197=""),"Release Date blank (import date will be used). ","")))</f>
        <v/>
      </c>
      <c r="G197" s="17" t="str">
        <f aca="false">IF('Project Register'!$A197="","",IF(F197="","OK","Check"))</f>
        <v/>
      </c>
    </row>
    <row r="198" customFormat="false" ht="15" hidden="false" customHeight="false" outlineLevel="0" collapsed="false">
      <c r="A198" s="15" t="str">
        <f aca="false">IF('Project Register'!$A198="","",ROW('Project Register'!A198))</f>
        <v/>
      </c>
      <c r="B198" s="15" t="str">
        <f aca="false">IF('Project Register'!$A198="","",'Project Register'!B198)</f>
        <v/>
      </c>
      <c r="C198" s="15" t="str">
        <f aca="false">IF('Project Register'!$A198="","",IF(OR('Project Register'!E198="",'Project Register'!F198=""),"",IF('Project Register'!F198&lt;'Project Register'!E198,0,NETWORKDAYS.INTL('Project Register'!E198,'Project Register'!F198,"0000110",Holidays_Leave!$A$3:$A$62))))</f>
        <v/>
      </c>
      <c r="D198" s="15" t="str">
        <f aca="false">IF('Project Register'!$A198="","",('Project Register'!H198&lt;&gt;"")+('Project Register'!J198&lt;&gt;"")+('Project Register'!L198&lt;&gt;""))</f>
        <v/>
      </c>
      <c r="E198" s="16" t="str">
        <f aca="false">IF(OR(C198="",D198="",'Project Register'!G198=""),"",IF(OR(C198=0,D198=0),"",'Project Register'!G198/(C198*D198)))</f>
        <v/>
      </c>
      <c r="F198" s="15" t="str">
        <f aca="false">IF('Project Register'!$A198="","",TRIM(IF(OR('Project Register'!E198="",'Project Register'!F198=""),"Missing date. ","")&amp;IF(AND('Project Register'!E198&lt;&gt;"",'Project Register'!F198&lt;&gt;"",'Project Register'!F198&lt;'Project Register'!E198),"End before start. ","")&amp;IF(NOT(ISNUMBER('Project Register'!G198)),"Effort missing. ","")&amp;IF(D198=0,"No resource. ","")&amp;IF(AND('Project Register'!H198&lt;&gt;"",'Project Register'!I198=""),"Role 1 missing. ","")&amp;IF(AND('Project Register'!J198&lt;&gt;"",'Project Register'!K198=""),"Role 2 missing. ","")&amp;IF(AND('Project Register'!L198&lt;&gt;"",'Project Register'!M198=""),"Role 3 missing. ","")&amp;IF(OR(AND('Project Register'!H198&lt;&gt;"",'Project Register'!H198='Project Register'!J198),AND('Project Register'!H198&lt;&gt;"",'Project Register'!H198='Project Register'!L198),AND('Project Register'!J198&lt;&gt;"",'Project Register'!J198='Project Register'!L198)),"Same person listed twice. ","")&amp;IF(AND('Project Register'!H198&lt;&gt;"",COUNTIF(Resources!$A$2:$A$51,'Project Register'!H198)=0),"Resource 1 not in Resources sheet. ","")&amp;IF(AND('Project Register'!J198&lt;&gt;"",COUNTIF(Resources!$A$2:$A$51,'Project Register'!J198)=0),"Resource 2 not in Resources sheet. ","")&amp;IF(AND('Project Register'!L198&lt;&gt;"",COUNTIF(Resources!$A$2:$A$51,'Project Register'!L198)=0),"Resource 3 not in Resources sheet. ","")&amp;IF('Project Register'!O198="","Test Status missing. ","")&amp;IF(AND(ISNUMBER(E198),E198&gt;1),"This task alone needs over 100% per person. ","")&amp;IF(AND('Project Register'!Q198="Deployed in Live",'Project Register'!R198=""),"Release Date blank (import date will be used). ","")))</f>
        <v/>
      </c>
      <c r="G198" s="17" t="str">
        <f aca="false">IF('Project Register'!$A198="","",IF(F198="","OK","Check"))</f>
        <v/>
      </c>
    </row>
    <row r="199" customFormat="false" ht="15" hidden="false" customHeight="false" outlineLevel="0" collapsed="false">
      <c r="A199" s="15" t="str">
        <f aca="false">IF('Project Register'!$A199="","",ROW('Project Register'!A199))</f>
        <v/>
      </c>
      <c r="B199" s="15" t="str">
        <f aca="false">IF('Project Register'!$A199="","",'Project Register'!B199)</f>
        <v/>
      </c>
      <c r="C199" s="15" t="str">
        <f aca="false">IF('Project Register'!$A199="","",IF(OR('Project Register'!E199="",'Project Register'!F199=""),"",IF('Project Register'!F199&lt;'Project Register'!E199,0,NETWORKDAYS.INTL('Project Register'!E199,'Project Register'!F199,"0000110",Holidays_Leave!$A$3:$A$62))))</f>
        <v/>
      </c>
      <c r="D199" s="15" t="str">
        <f aca="false">IF('Project Register'!$A199="","",('Project Register'!H199&lt;&gt;"")+('Project Register'!J199&lt;&gt;"")+('Project Register'!L199&lt;&gt;""))</f>
        <v/>
      </c>
      <c r="E199" s="16" t="str">
        <f aca="false">IF(OR(C199="",D199="",'Project Register'!G199=""),"",IF(OR(C199=0,D199=0),"",'Project Register'!G199/(C199*D199)))</f>
        <v/>
      </c>
      <c r="F199" s="15" t="str">
        <f aca="false">IF('Project Register'!$A199="","",TRIM(IF(OR('Project Register'!E199="",'Project Register'!F199=""),"Missing date. ","")&amp;IF(AND('Project Register'!E199&lt;&gt;"",'Project Register'!F199&lt;&gt;"",'Project Register'!F199&lt;'Project Register'!E199),"End before start. ","")&amp;IF(NOT(ISNUMBER('Project Register'!G199)),"Effort missing. ","")&amp;IF(D199=0,"No resource. ","")&amp;IF(AND('Project Register'!H199&lt;&gt;"",'Project Register'!I199=""),"Role 1 missing. ","")&amp;IF(AND('Project Register'!J199&lt;&gt;"",'Project Register'!K199=""),"Role 2 missing. ","")&amp;IF(AND('Project Register'!L199&lt;&gt;"",'Project Register'!M199=""),"Role 3 missing. ","")&amp;IF(OR(AND('Project Register'!H199&lt;&gt;"",'Project Register'!H199='Project Register'!J199),AND('Project Register'!H199&lt;&gt;"",'Project Register'!H199='Project Register'!L199),AND('Project Register'!J199&lt;&gt;"",'Project Register'!J199='Project Register'!L199)),"Same person listed twice. ","")&amp;IF(AND('Project Register'!H199&lt;&gt;"",COUNTIF(Resources!$A$2:$A$51,'Project Register'!H199)=0),"Resource 1 not in Resources sheet. ","")&amp;IF(AND('Project Register'!J199&lt;&gt;"",COUNTIF(Resources!$A$2:$A$51,'Project Register'!J199)=0),"Resource 2 not in Resources sheet. ","")&amp;IF(AND('Project Register'!L199&lt;&gt;"",COUNTIF(Resources!$A$2:$A$51,'Project Register'!L199)=0),"Resource 3 not in Resources sheet. ","")&amp;IF('Project Register'!O199="","Test Status missing. ","")&amp;IF(AND(ISNUMBER(E199),E199&gt;1),"This task alone needs over 100% per person. ","")&amp;IF(AND('Project Register'!Q199="Deployed in Live",'Project Register'!R199=""),"Release Date blank (import date will be used). ","")))</f>
        <v/>
      </c>
      <c r="G199" s="17" t="str">
        <f aca="false">IF('Project Register'!$A199="","",IF(F199="","OK","Check"))</f>
        <v/>
      </c>
    </row>
    <row r="200" customFormat="false" ht="15" hidden="false" customHeight="false" outlineLevel="0" collapsed="false">
      <c r="A200" s="15" t="str">
        <f aca="false">IF('Project Register'!$A200="","",ROW('Project Register'!A200))</f>
        <v/>
      </c>
      <c r="B200" s="15" t="str">
        <f aca="false">IF('Project Register'!$A200="","",'Project Register'!B200)</f>
        <v/>
      </c>
      <c r="C200" s="15" t="str">
        <f aca="false">IF('Project Register'!$A200="","",IF(OR('Project Register'!E200="",'Project Register'!F200=""),"",IF('Project Register'!F200&lt;'Project Register'!E200,0,NETWORKDAYS.INTL('Project Register'!E200,'Project Register'!F200,"0000110",Holidays_Leave!$A$3:$A$62))))</f>
        <v/>
      </c>
      <c r="D200" s="15" t="str">
        <f aca="false">IF('Project Register'!$A200="","",('Project Register'!H200&lt;&gt;"")+('Project Register'!J200&lt;&gt;"")+('Project Register'!L200&lt;&gt;""))</f>
        <v/>
      </c>
      <c r="E200" s="16" t="str">
        <f aca="false">IF(OR(C200="",D200="",'Project Register'!G200=""),"",IF(OR(C200=0,D200=0),"",'Project Register'!G200/(C200*D200)))</f>
        <v/>
      </c>
      <c r="F200" s="15" t="str">
        <f aca="false">IF('Project Register'!$A200="","",TRIM(IF(OR('Project Register'!E200="",'Project Register'!F200=""),"Missing date. ","")&amp;IF(AND('Project Register'!E200&lt;&gt;"",'Project Register'!F200&lt;&gt;"",'Project Register'!F200&lt;'Project Register'!E200),"End before start. ","")&amp;IF(NOT(ISNUMBER('Project Register'!G200)),"Effort missing. ","")&amp;IF(D200=0,"No resource. ","")&amp;IF(AND('Project Register'!H200&lt;&gt;"",'Project Register'!I200=""),"Role 1 missing. ","")&amp;IF(AND('Project Register'!J200&lt;&gt;"",'Project Register'!K200=""),"Role 2 missing. ","")&amp;IF(AND('Project Register'!L200&lt;&gt;"",'Project Register'!M200=""),"Role 3 missing. ","")&amp;IF(OR(AND('Project Register'!H200&lt;&gt;"",'Project Register'!H200='Project Register'!J200),AND('Project Register'!H200&lt;&gt;"",'Project Register'!H200='Project Register'!L200),AND('Project Register'!J200&lt;&gt;"",'Project Register'!J200='Project Register'!L200)),"Same person listed twice. ","")&amp;IF(AND('Project Register'!H200&lt;&gt;"",COUNTIF(Resources!$A$2:$A$51,'Project Register'!H200)=0),"Resource 1 not in Resources sheet. ","")&amp;IF(AND('Project Register'!J200&lt;&gt;"",COUNTIF(Resources!$A$2:$A$51,'Project Register'!J200)=0),"Resource 2 not in Resources sheet. ","")&amp;IF(AND('Project Register'!L200&lt;&gt;"",COUNTIF(Resources!$A$2:$A$51,'Project Register'!L200)=0),"Resource 3 not in Resources sheet. ","")&amp;IF('Project Register'!O200="","Test Status missing. ","")&amp;IF(AND(ISNUMBER(E200),E200&gt;1),"This task alone needs over 100% per person. ","")&amp;IF(AND('Project Register'!Q200="Deployed in Live",'Project Register'!R200=""),"Release Date blank (import date will be used). ","")))</f>
        <v/>
      </c>
      <c r="G200" s="17" t="str">
        <f aca="false">IF('Project Register'!$A200="","",IF(F200="","OK","Check"))</f>
        <v/>
      </c>
    </row>
    <row r="201" customFormat="false" ht="15" hidden="false" customHeight="false" outlineLevel="0" collapsed="false">
      <c r="A201" s="15" t="str">
        <f aca="false">IF('Project Register'!$A201="","",ROW('Project Register'!A201))</f>
        <v/>
      </c>
      <c r="B201" s="15" t="str">
        <f aca="false">IF('Project Register'!$A201="","",'Project Register'!B201)</f>
        <v/>
      </c>
      <c r="C201" s="15" t="str">
        <f aca="false">IF('Project Register'!$A201="","",IF(OR('Project Register'!E201="",'Project Register'!F201=""),"",IF('Project Register'!F201&lt;'Project Register'!E201,0,NETWORKDAYS.INTL('Project Register'!E201,'Project Register'!F201,"0000110",Holidays_Leave!$A$3:$A$62))))</f>
        <v/>
      </c>
      <c r="D201" s="15" t="str">
        <f aca="false">IF('Project Register'!$A201="","",('Project Register'!H201&lt;&gt;"")+('Project Register'!J201&lt;&gt;"")+('Project Register'!L201&lt;&gt;""))</f>
        <v/>
      </c>
      <c r="E201" s="16" t="str">
        <f aca="false">IF(OR(C201="",D201="",'Project Register'!G201=""),"",IF(OR(C201=0,D201=0),"",'Project Register'!G201/(C201*D201)))</f>
        <v/>
      </c>
      <c r="F201" s="15" t="str">
        <f aca="false">IF('Project Register'!$A201="","",TRIM(IF(OR('Project Register'!E201="",'Project Register'!F201=""),"Missing date. ","")&amp;IF(AND('Project Register'!E201&lt;&gt;"",'Project Register'!F201&lt;&gt;"",'Project Register'!F201&lt;'Project Register'!E201),"End before start. ","")&amp;IF(NOT(ISNUMBER('Project Register'!G201)),"Effort missing. ","")&amp;IF(D201=0,"No resource. ","")&amp;IF(AND('Project Register'!H201&lt;&gt;"",'Project Register'!I201=""),"Role 1 missing. ","")&amp;IF(AND('Project Register'!J201&lt;&gt;"",'Project Register'!K201=""),"Role 2 missing. ","")&amp;IF(AND('Project Register'!L201&lt;&gt;"",'Project Register'!M201=""),"Role 3 missing. ","")&amp;IF(OR(AND('Project Register'!H201&lt;&gt;"",'Project Register'!H201='Project Register'!J201),AND('Project Register'!H201&lt;&gt;"",'Project Register'!H201='Project Register'!L201),AND('Project Register'!J201&lt;&gt;"",'Project Register'!J201='Project Register'!L201)),"Same person listed twice. ","")&amp;IF(AND('Project Register'!H201&lt;&gt;"",COUNTIF(Resources!$A$2:$A$51,'Project Register'!H201)=0),"Resource 1 not in Resources sheet. ","")&amp;IF(AND('Project Register'!J201&lt;&gt;"",COUNTIF(Resources!$A$2:$A$51,'Project Register'!J201)=0),"Resource 2 not in Resources sheet. ","")&amp;IF(AND('Project Register'!L201&lt;&gt;"",COUNTIF(Resources!$A$2:$A$51,'Project Register'!L201)=0),"Resource 3 not in Resources sheet. ","")&amp;IF('Project Register'!O201="","Test Status missing. ","")&amp;IF(AND(ISNUMBER(E201),E201&gt;1),"This task alone needs over 100% per person. ","")&amp;IF(AND('Project Register'!Q201="Deployed in Live",'Project Register'!R201=""),"Release Date blank (import date will be used). ","")))</f>
        <v/>
      </c>
      <c r="G201" s="17" t="str">
        <f aca="false">IF('Project Register'!$A201="","",IF(F201="","OK","Check"))</f>
        <v/>
      </c>
    </row>
    <row r="202" customFormat="false" ht="15" hidden="false" customHeight="false" outlineLevel="0" collapsed="false">
      <c r="A202" s="15" t="str">
        <f aca="false">IF('Project Register'!$A202="","",ROW('Project Register'!A202))</f>
        <v/>
      </c>
      <c r="B202" s="15" t="str">
        <f aca="false">IF('Project Register'!$A202="","",'Project Register'!B202)</f>
        <v/>
      </c>
      <c r="C202" s="15" t="str">
        <f aca="false">IF('Project Register'!$A202="","",IF(OR('Project Register'!E202="",'Project Register'!F202=""),"",IF('Project Register'!F202&lt;'Project Register'!E202,0,NETWORKDAYS.INTL('Project Register'!E202,'Project Register'!F202,"0000110",Holidays_Leave!$A$3:$A$62))))</f>
        <v/>
      </c>
      <c r="D202" s="15" t="str">
        <f aca="false">IF('Project Register'!$A202="","",('Project Register'!H202&lt;&gt;"")+('Project Register'!J202&lt;&gt;"")+('Project Register'!L202&lt;&gt;""))</f>
        <v/>
      </c>
      <c r="E202" s="16" t="str">
        <f aca="false">IF(OR(C202="",D202="",'Project Register'!G202=""),"",IF(OR(C202=0,D202=0),"",'Project Register'!G202/(C202*D202)))</f>
        <v/>
      </c>
      <c r="F202" s="15" t="str">
        <f aca="false">IF('Project Register'!$A202="","",TRIM(IF(OR('Project Register'!E202="",'Project Register'!F202=""),"Missing date. ","")&amp;IF(AND('Project Register'!E202&lt;&gt;"",'Project Register'!F202&lt;&gt;"",'Project Register'!F202&lt;'Project Register'!E202),"End before start. ","")&amp;IF(NOT(ISNUMBER('Project Register'!G202)),"Effort missing. ","")&amp;IF(D202=0,"No resource. ","")&amp;IF(AND('Project Register'!H202&lt;&gt;"",'Project Register'!I202=""),"Role 1 missing. ","")&amp;IF(AND('Project Register'!J202&lt;&gt;"",'Project Register'!K202=""),"Role 2 missing. ","")&amp;IF(AND('Project Register'!L202&lt;&gt;"",'Project Register'!M202=""),"Role 3 missing. ","")&amp;IF(OR(AND('Project Register'!H202&lt;&gt;"",'Project Register'!H202='Project Register'!J202),AND('Project Register'!H202&lt;&gt;"",'Project Register'!H202='Project Register'!L202),AND('Project Register'!J202&lt;&gt;"",'Project Register'!J202='Project Register'!L202)),"Same person listed twice. ","")&amp;IF(AND('Project Register'!H202&lt;&gt;"",COUNTIF(Resources!$A$2:$A$51,'Project Register'!H202)=0),"Resource 1 not in Resources sheet. ","")&amp;IF(AND('Project Register'!J202&lt;&gt;"",COUNTIF(Resources!$A$2:$A$51,'Project Register'!J202)=0),"Resource 2 not in Resources sheet. ","")&amp;IF(AND('Project Register'!L202&lt;&gt;"",COUNTIF(Resources!$A$2:$A$51,'Project Register'!L202)=0),"Resource 3 not in Resources sheet. ","")&amp;IF('Project Register'!O202="","Test Status missing. ","")&amp;IF(AND(ISNUMBER(E202),E202&gt;1),"This task alone needs over 100% per person. ","")&amp;IF(AND('Project Register'!Q202="Deployed in Live",'Project Register'!R202=""),"Release Date blank (import date will be used). ","")))</f>
        <v/>
      </c>
      <c r="G202" s="17" t="str">
        <f aca="false">IF('Project Register'!$A202="","",IF(F202="","OK","Check"))</f>
        <v/>
      </c>
    </row>
    <row r="203" customFormat="false" ht="15" hidden="false" customHeight="false" outlineLevel="0" collapsed="false">
      <c r="A203" s="15" t="str">
        <f aca="false">IF('Project Register'!$A203="","",ROW('Project Register'!A203))</f>
        <v/>
      </c>
      <c r="B203" s="15" t="str">
        <f aca="false">IF('Project Register'!$A203="","",'Project Register'!B203)</f>
        <v/>
      </c>
      <c r="C203" s="15" t="str">
        <f aca="false">IF('Project Register'!$A203="","",IF(OR('Project Register'!E203="",'Project Register'!F203=""),"",IF('Project Register'!F203&lt;'Project Register'!E203,0,NETWORKDAYS.INTL('Project Register'!E203,'Project Register'!F203,"0000110",Holidays_Leave!$A$3:$A$62))))</f>
        <v/>
      </c>
      <c r="D203" s="15" t="str">
        <f aca="false">IF('Project Register'!$A203="","",('Project Register'!H203&lt;&gt;"")+('Project Register'!J203&lt;&gt;"")+('Project Register'!L203&lt;&gt;""))</f>
        <v/>
      </c>
      <c r="E203" s="16" t="str">
        <f aca="false">IF(OR(C203="",D203="",'Project Register'!G203=""),"",IF(OR(C203=0,D203=0),"",'Project Register'!G203/(C203*D203)))</f>
        <v/>
      </c>
      <c r="F203" s="15" t="str">
        <f aca="false">IF('Project Register'!$A203="","",TRIM(IF(OR('Project Register'!E203="",'Project Register'!F203=""),"Missing date. ","")&amp;IF(AND('Project Register'!E203&lt;&gt;"",'Project Register'!F203&lt;&gt;"",'Project Register'!F203&lt;'Project Register'!E203),"End before start. ","")&amp;IF(NOT(ISNUMBER('Project Register'!G203)),"Effort missing. ","")&amp;IF(D203=0,"No resource. ","")&amp;IF(AND('Project Register'!H203&lt;&gt;"",'Project Register'!I203=""),"Role 1 missing. ","")&amp;IF(AND('Project Register'!J203&lt;&gt;"",'Project Register'!K203=""),"Role 2 missing. ","")&amp;IF(AND('Project Register'!L203&lt;&gt;"",'Project Register'!M203=""),"Role 3 missing. ","")&amp;IF(OR(AND('Project Register'!H203&lt;&gt;"",'Project Register'!H203='Project Register'!J203),AND('Project Register'!H203&lt;&gt;"",'Project Register'!H203='Project Register'!L203),AND('Project Register'!J203&lt;&gt;"",'Project Register'!J203='Project Register'!L203)),"Same person listed twice. ","")&amp;IF(AND('Project Register'!H203&lt;&gt;"",COUNTIF(Resources!$A$2:$A$51,'Project Register'!H203)=0),"Resource 1 not in Resources sheet. ","")&amp;IF(AND('Project Register'!J203&lt;&gt;"",COUNTIF(Resources!$A$2:$A$51,'Project Register'!J203)=0),"Resource 2 not in Resources sheet. ","")&amp;IF(AND('Project Register'!L203&lt;&gt;"",COUNTIF(Resources!$A$2:$A$51,'Project Register'!L203)=0),"Resource 3 not in Resources sheet. ","")&amp;IF('Project Register'!O203="","Test Status missing. ","")&amp;IF(AND(ISNUMBER(E203),E203&gt;1),"This task alone needs over 100% per person. ","")&amp;IF(AND('Project Register'!Q203="Deployed in Live",'Project Register'!R203=""),"Release Date blank (import date will be used). ","")))</f>
        <v/>
      </c>
      <c r="G203" s="17" t="str">
        <f aca="false">IF('Project Register'!$A203="","",IF(F203="","OK","Check"))</f>
        <v/>
      </c>
    </row>
    <row r="204" customFormat="false" ht="15" hidden="false" customHeight="false" outlineLevel="0" collapsed="false">
      <c r="A204" s="15" t="str">
        <f aca="false">IF('Project Register'!$A204="","",ROW('Project Register'!A204))</f>
        <v/>
      </c>
      <c r="B204" s="15" t="str">
        <f aca="false">IF('Project Register'!$A204="","",'Project Register'!B204)</f>
        <v/>
      </c>
      <c r="C204" s="15" t="str">
        <f aca="false">IF('Project Register'!$A204="","",IF(OR('Project Register'!E204="",'Project Register'!F204=""),"",IF('Project Register'!F204&lt;'Project Register'!E204,0,NETWORKDAYS.INTL('Project Register'!E204,'Project Register'!F204,"0000110",Holidays_Leave!$A$3:$A$62))))</f>
        <v/>
      </c>
      <c r="D204" s="15" t="str">
        <f aca="false">IF('Project Register'!$A204="","",('Project Register'!H204&lt;&gt;"")+('Project Register'!J204&lt;&gt;"")+('Project Register'!L204&lt;&gt;""))</f>
        <v/>
      </c>
      <c r="E204" s="16" t="str">
        <f aca="false">IF(OR(C204="",D204="",'Project Register'!G204=""),"",IF(OR(C204=0,D204=0),"",'Project Register'!G204/(C204*D204)))</f>
        <v/>
      </c>
      <c r="F204" s="15" t="str">
        <f aca="false">IF('Project Register'!$A204="","",TRIM(IF(OR('Project Register'!E204="",'Project Register'!F204=""),"Missing date. ","")&amp;IF(AND('Project Register'!E204&lt;&gt;"",'Project Register'!F204&lt;&gt;"",'Project Register'!F204&lt;'Project Register'!E204),"End before start. ","")&amp;IF(NOT(ISNUMBER('Project Register'!G204)),"Effort missing. ","")&amp;IF(D204=0,"No resource. ","")&amp;IF(AND('Project Register'!H204&lt;&gt;"",'Project Register'!I204=""),"Role 1 missing. ","")&amp;IF(AND('Project Register'!J204&lt;&gt;"",'Project Register'!K204=""),"Role 2 missing. ","")&amp;IF(AND('Project Register'!L204&lt;&gt;"",'Project Register'!M204=""),"Role 3 missing. ","")&amp;IF(OR(AND('Project Register'!H204&lt;&gt;"",'Project Register'!H204='Project Register'!J204),AND('Project Register'!H204&lt;&gt;"",'Project Register'!H204='Project Register'!L204),AND('Project Register'!J204&lt;&gt;"",'Project Register'!J204='Project Register'!L204)),"Same person listed twice. ","")&amp;IF(AND('Project Register'!H204&lt;&gt;"",COUNTIF(Resources!$A$2:$A$51,'Project Register'!H204)=0),"Resource 1 not in Resources sheet. ","")&amp;IF(AND('Project Register'!J204&lt;&gt;"",COUNTIF(Resources!$A$2:$A$51,'Project Register'!J204)=0),"Resource 2 not in Resources sheet. ","")&amp;IF(AND('Project Register'!L204&lt;&gt;"",COUNTIF(Resources!$A$2:$A$51,'Project Register'!L204)=0),"Resource 3 not in Resources sheet. ","")&amp;IF('Project Register'!O204="","Test Status missing. ","")&amp;IF(AND(ISNUMBER(E204),E204&gt;1),"This task alone needs over 100% per person. ","")&amp;IF(AND('Project Register'!Q204="Deployed in Live",'Project Register'!R204=""),"Release Date blank (import date will be used). ","")))</f>
        <v/>
      </c>
      <c r="G204" s="17" t="str">
        <f aca="false">IF('Project Register'!$A204="","",IF(F204="","OK","Check"))</f>
        <v/>
      </c>
    </row>
    <row r="205" customFormat="false" ht="15" hidden="false" customHeight="false" outlineLevel="0" collapsed="false">
      <c r="A205" s="15" t="str">
        <f aca="false">IF('Project Register'!$A205="","",ROW('Project Register'!A205))</f>
        <v/>
      </c>
      <c r="B205" s="15" t="str">
        <f aca="false">IF('Project Register'!$A205="","",'Project Register'!B205)</f>
        <v/>
      </c>
      <c r="C205" s="15" t="str">
        <f aca="false">IF('Project Register'!$A205="","",IF(OR('Project Register'!E205="",'Project Register'!F205=""),"",IF('Project Register'!F205&lt;'Project Register'!E205,0,NETWORKDAYS.INTL('Project Register'!E205,'Project Register'!F205,"0000110",Holidays_Leave!$A$3:$A$62))))</f>
        <v/>
      </c>
      <c r="D205" s="15" t="str">
        <f aca="false">IF('Project Register'!$A205="","",('Project Register'!H205&lt;&gt;"")+('Project Register'!J205&lt;&gt;"")+('Project Register'!L205&lt;&gt;""))</f>
        <v/>
      </c>
      <c r="E205" s="16" t="str">
        <f aca="false">IF(OR(C205="",D205="",'Project Register'!G205=""),"",IF(OR(C205=0,D205=0),"",'Project Register'!G205/(C205*D205)))</f>
        <v/>
      </c>
      <c r="F205" s="15" t="str">
        <f aca="false">IF('Project Register'!$A205="","",TRIM(IF(OR('Project Register'!E205="",'Project Register'!F205=""),"Missing date. ","")&amp;IF(AND('Project Register'!E205&lt;&gt;"",'Project Register'!F205&lt;&gt;"",'Project Register'!F205&lt;'Project Register'!E205),"End before start. ","")&amp;IF(NOT(ISNUMBER('Project Register'!G205)),"Effort missing. ","")&amp;IF(D205=0,"No resource. ","")&amp;IF(AND('Project Register'!H205&lt;&gt;"",'Project Register'!I205=""),"Role 1 missing. ","")&amp;IF(AND('Project Register'!J205&lt;&gt;"",'Project Register'!K205=""),"Role 2 missing. ","")&amp;IF(AND('Project Register'!L205&lt;&gt;"",'Project Register'!M205=""),"Role 3 missing. ","")&amp;IF(OR(AND('Project Register'!H205&lt;&gt;"",'Project Register'!H205='Project Register'!J205),AND('Project Register'!H205&lt;&gt;"",'Project Register'!H205='Project Register'!L205),AND('Project Register'!J205&lt;&gt;"",'Project Register'!J205='Project Register'!L205)),"Same person listed twice. ","")&amp;IF(AND('Project Register'!H205&lt;&gt;"",COUNTIF(Resources!$A$2:$A$51,'Project Register'!H205)=0),"Resource 1 not in Resources sheet. ","")&amp;IF(AND('Project Register'!J205&lt;&gt;"",COUNTIF(Resources!$A$2:$A$51,'Project Register'!J205)=0),"Resource 2 not in Resources sheet. ","")&amp;IF(AND('Project Register'!L205&lt;&gt;"",COUNTIF(Resources!$A$2:$A$51,'Project Register'!L205)=0),"Resource 3 not in Resources sheet. ","")&amp;IF('Project Register'!O205="","Test Status missing. ","")&amp;IF(AND(ISNUMBER(E205),E205&gt;1),"This task alone needs over 100% per person. ","")&amp;IF(AND('Project Register'!Q205="Deployed in Live",'Project Register'!R205=""),"Release Date blank (import date will be used). ","")))</f>
        <v/>
      </c>
      <c r="G205" s="17" t="str">
        <f aca="false">IF('Project Register'!$A205="","",IF(F205="","OK","Check"))</f>
        <v/>
      </c>
    </row>
    <row r="206" customFormat="false" ht="15" hidden="false" customHeight="false" outlineLevel="0" collapsed="false">
      <c r="A206" s="15" t="str">
        <f aca="false">IF('Project Register'!$A206="","",ROW('Project Register'!A206))</f>
        <v/>
      </c>
      <c r="B206" s="15" t="str">
        <f aca="false">IF('Project Register'!$A206="","",'Project Register'!B206)</f>
        <v/>
      </c>
      <c r="C206" s="15" t="str">
        <f aca="false">IF('Project Register'!$A206="","",IF(OR('Project Register'!E206="",'Project Register'!F206=""),"",IF('Project Register'!F206&lt;'Project Register'!E206,0,NETWORKDAYS.INTL('Project Register'!E206,'Project Register'!F206,"0000110",Holidays_Leave!$A$3:$A$62))))</f>
        <v/>
      </c>
      <c r="D206" s="15" t="str">
        <f aca="false">IF('Project Register'!$A206="","",('Project Register'!H206&lt;&gt;"")+('Project Register'!J206&lt;&gt;"")+('Project Register'!L206&lt;&gt;""))</f>
        <v/>
      </c>
      <c r="E206" s="16" t="str">
        <f aca="false">IF(OR(C206="",D206="",'Project Register'!G206=""),"",IF(OR(C206=0,D206=0),"",'Project Register'!G206/(C206*D206)))</f>
        <v/>
      </c>
      <c r="F206" s="15" t="str">
        <f aca="false">IF('Project Register'!$A206="","",TRIM(IF(OR('Project Register'!E206="",'Project Register'!F206=""),"Missing date. ","")&amp;IF(AND('Project Register'!E206&lt;&gt;"",'Project Register'!F206&lt;&gt;"",'Project Register'!F206&lt;'Project Register'!E206),"End before start. ","")&amp;IF(NOT(ISNUMBER('Project Register'!G206)),"Effort missing. ","")&amp;IF(D206=0,"No resource. ","")&amp;IF(AND('Project Register'!H206&lt;&gt;"",'Project Register'!I206=""),"Role 1 missing. ","")&amp;IF(AND('Project Register'!J206&lt;&gt;"",'Project Register'!K206=""),"Role 2 missing. ","")&amp;IF(AND('Project Register'!L206&lt;&gt;"",'Project Register'!M206=""),"Role 3 missing. ","")&amp;IF(OR(AND('Project Register'!H206&lt;&gt;"",'Project Register'!H206='Project Register'!J206),AND('Project Register'!H206&lt;&gt;"",'Project Register'!H206='Project Register'!L206),AND('Project Register'!J206&lt;&gt;"",'Project Register'!J206='Project Register'!L206)),"Same person listed twice. ","")&amp;IF(AND('Project Register'!H206&lt;&gt;"",COUNTIF(Resources!$A$2:$A$51,'Project Register'!H206)=0),"Resource 1 not in Resources sheet. ","")&amp;IF(AND('Project Register'!J206&lt;&gt;"",COUNTIF(Resources!$A$2:$A$51,'Project Register'!J206)=0),"Resource 2 not in Resources sheet. ","")&amp;IF(AND('Project Register'!L206&lt;&gt;"",COUNTIF(Resources!$A$2:$A$51,'Project Register'!L206)=0),"Resource 3 not in Resources sheet. ","")&amp;IF('Project Register'!O206="","Test Status missing. ","")&amp;IF(AND(ISNUMBER(E206),E206&gt;1),"This task alone needs over 100% per person. ","")&amp;IF(AND('Project Register'!Q206="Deployed in Live",'Project Register'!R206=""),"Release Date blank (import date will be used). ","")))</f>
        <v/>
      </c>
      <c r="G206" s="17" t="str">
        <f aca="false">IF('Project Register'!$A206="","",IF(F206="","OK","Check"))</f>
        <v/>
      </c>
    </row>
    <row r="207" customFormat="false" ht="15" hidden="false" customHeight="false" outlineLevel="0" collapsed="false">
      <c r="A207" s="15" t="str">
        <f aca="false">IF('Project Register'!$A207="","",ROW('Project Register'!A207))</f>
        <v/>
      </c>
      <c r="B207" s="15" t="str">
        <f aca="false">IF('Project Register'!$A207="","",'Project Register'!B207)</f>
        <v/>
      </c>
      <c r="C207" s="15" t="str">
        <f aca="false">IF('Project Register'!$A207="","",IF(OR('Project Register'!E207="",'Project Register'!F207=""),"",IF('Project Register'!F207&lt;'Project Register'!E207,0,NETWORKDAYS.INTL('Project Register'!E207,'Project Register'!F207,"0000110",Holidays_Leave!$A$3:$A$62))))</f>
        <v/>
      </c>
      <c r="D207" s="15" t="str">
        <f aca="false">IF('Project Register'!$A207="","",('Project Register'!H207&lt;&gt;"")+('Project Register'!J207&lt;&gt;"")+('Project Register'!L207&lt;&gt;""))</f>
        <v/>
      </c>
      <c r="E207" s="16" t="str">
        <f aca="false">IF(OR(C207="",D207="",'Project Register'!G207=""),"",IF(OR(C207=0,D207=0),"",'Project Register'!G207/(C207*D207)))</f>
        <v/>
      </c>
      <c r="F207" s="15" t="str">
        <f aca="false">IF('Project Register'!$A207="","",TRIM(IF(OR('Project Register'!E207="",'Project Register'!F207=""),"Missing date. ","")&amp;IF(AND('Project Register'!E207&lt;&gt;"",'Project Register'!F207&lt;&gt;"",'Project Register'!F207&lt;'Project Register'!E207),"End before start. ","")&amp;IF(NOT(ISNUMBER('Project Register'!G207)),"Effort missing. ","")&amp;IF(D207=0,"No resource. ","")&amp;IF(AND('Project Register'!H207&lt;&gt;"",'Project Register'!I207=""),"Role 1 missing. ","")&amp;IF(AND('Project Register'!J207&lt;&gt;"",'Project Register'!K207=""),"Role 2 missing. ","")&amp;IF(AND('Project Register'!L207&lt;&gt;"",'Project Register'!M207=""),"Role 3 missing. ","")&amp;IF(OR(AND('Project Register'!H207&lt;&gt;"",'Project Register'!H207='Project Register'!J207),AND('Project Register'!H207&lt;&gt;"",'Project Register'!H207='Project Register'!L207),AND('Project Register'!J207&lt;&gt;"",'Project Register'!J207='Project Register'!L207)),"Same person listed twice. ","")&amp;IF(AND('Project Register'!H207&lt;&gt;"",COUNTIF(Resources!$A$2:$A$51,'Project Register'!H207)=0),"Resource 1 not in Resources sheet. ","")&amp;IF(AND('Project Register'!J207&lt;&gt;"",COUNTIF(Resources!$A$2:$A$51,'Project Register'!J207)=0),"Resource 2 not in Resources sheet. ","")&amp;IF(AND('Project Register'!L207&lt;&gt;"",COUNTIF(Resources!$A$2:$A$51,'Project Register'!L207)=0),"Resource 3 not in Resources sheet. ","")&amp;IF('Project Register'!O207="","Test Status missing. ","")&amp;IF(AND(ISNUMBER(E207),E207&gt;1),"This task alone needs over 100% per person. ","")&amp;IF(AND('Project Register'!Q207="Deployed in Live",'Project Register'!R207=""),"Release Date blank (import date will be used). ","")))</f>
        <v/>
      </c>
      <c r="G207" s="17" t="str">
        <f aca="false">IF('Project Register'!$A207="","",IF(F207="","OK","Check"))</f>
        <v/>
      </c>
    </row>
    <row r="208" customFormat="false" ht="15" hidden="false" customHeight="false" outlineLevel="0" collapsed="false">
      <c r="A208" s="15" t="str">
        <f aca="false">IF('Project Register'!$A208="","",ROW('Project Register'!A208))</f>
        <v/>
      </c>
      <c r="B208" s="15" t="str">
        <f aca="false">IF('Project Register'!$A208="","",'Project Register'!B208)</f>
        <v/>
      </c>
      <c r="C208" s="15" t="str">
        <f aca="false">IF('Project Register'!$A208="","",IF(OR('Project Register'!E208="",'Project Register'!F208=""),"",IF('Project Register'!F208&lt;'Project Register'!E208,0,NETWORKDAYS.INTL('Project Register'!E208,'Project Register'!F208,"0000110",Holidays_Leave!$A$3:$A$62))))</f>
        <v/>
      </c>
      <c r="D208" s="15" t="str">
        <f aca="false">IF('Project Register'!$A208="","",('Project Register'!H208&lt;&gt;"")+('Project Register'!J208&lt;&gt;"")+('Project Register'!L208&lt;&gt;""))</f>
        <v/>
      </c>
      <c r="E208" s="16" t="str">
        <f aca="false">IF(OR(C208="",D208="",'Project Register'!G208=""),"",IF(OR(C208=0,D208=0),"",'Project Register'!G208/(C208*D208)))</f>
        <v/>
      </c>
      <c r="F208" s="15" t="str">
        <f aca="false">IF('Project Register'!$A208="","",TRIM(IF(OR('Project Register'!E208="",'Project Register'!F208=""),"Missing date. ","")&amp;IF(AND('Project Register'!E208&lt;&gt;"",'Project Register'!F208&lt;&gt;"",'Project Register'!F208&lt;'Project Register'!E208),"End before start. ","")&amp;IF(NOT(ISNUMBER('Project Register'!G208)),"Effort missing. ","")&amp;IF(D208=0,"No resource. ","")&amp;IF(AND('Project Register'!H208&lt;&gt;"",'Project Register'!I208=""),"Role 1 missing. ","")&amp;IF(AND('Project Register'!J208&lt;&gt;"",'Project Register'!K208=""),"Role 2 missing. ","")&amp;IF(AND('Project Register'!L208&lt;&gt;"",'Project Register'!M208=""),"Role 3 missing. ","")&amp;IF(OR(AND('Project Register'!H208&lt;&gt;"",'Project Register'!H208='Project Register'!J208),AND('Project Register'!H208&lt;&gt;"",'Project Register'!H208='Project Register'!L208),AND('Project Register'!J208&lt;&gt;"",'Project Register'!J208='Project Register'!L208)),"Same person listed twice. ","")&amp;IF(AND('Project Register'!H208&lt;&gt;"",COUNTIF(Resources!$A$2:$A$51,'Project Register'!H208)=0),"Resource 1 not in Resources sheet. ","")&amp;IF(AND('Project Register'!J208&lt;&gt;"",COUNTIF(Resources!$A$2:$A$51,'Project Register'!J208)=0),"Resource 2 not in Resources sheet. ","")&amp;IF(AND('Project Register'!L208&lt;&gt;"",COUNTIF(Resources!$A$2:$A$51,'Project Register'!L208)=0),"Resource 3 not in Resources sheet. ","")&amp;IF('Project Register'!O208="","Test Status missing. ","")&amp;IF(AND(ISNUMBER(E208),E208&gt;1),"This task alone needs over 100% per person. ","")&amp;IF(AND('Project Register'!Q208="Deployed in Live",'Project Register'!R208=""),"Release Date blank (import date will be used). ","")))</f>
        <v/>
      </c>
      <c r="G208" s="17" t="str">
        <f aca="false">IF('Project Register'!$A208="","",IF(F208="","OK","Check"))</f>
        <v/>
      </c>
    </row>
    <row r="209" customFormat="false" ht="15" hidden="false" customHeight="false" outlineLevel="0" collapsed="false">
      <c r="A209" s="15" t="str">
        <f aca="false">IF('Project Register'!$A209="","",ROW('Project Register'!A209))</f>
        <v/>
      </c>
      <c r="B209" s="15" t="str">
        <f aca="false">IF('Project Register'!$A209="","",'Project Register'!B209)</f>
        <v/>
      </c>
      <c r="C209" s="15" t="str">
        <f aca="false">IF('Project Register'!$A209="","",IF(OR('Project Register'!E209="",'Project Register'!F209=""),"",IF('Project Register'!F209&lt;'Project Register'!E209,0,NETWORKDAYS.INTL('Project Register'!E209,'Project Register'!F209,"0000110",Holidays_Leave!$A$3:$A$62))))</f>
        <v/>
      </c>
      <c r="D209" s="15" t="str">
        <f aca="false">IF('Project Register'!$A209="","",('Project Register'!H209&lt;&gt;"")+('Project Register'!J209&lt;&gt;"")+('Project Register'!L209&lt;&gt;""))</f>
        <v/>
      </c>
      <c r="E209" s="16" t="str">
        <f aca="false">IF(OR(C209="",D209="",'Project Register'!G209=""),"",IF(OR(C209=0,D209=0),"",'Project Register'!G209/(C209*D209)))</f>
        <v/>
      </c>
      <c r="F209" s="15" t="str">
        <f aca="false">IF('Project Register'!$A209="","",TRIM(IF(OR('Project Register'!E209="",'Project Register'!F209=""),"Missing date. ","")&amp;IF(AND('Project Register'!E209&lt;&gt;"",'Project Register'!F209&lt;&gt;"",'Project Register'!F209&lt;'Project Register'!E209),"End before start. ","")&amp;IF(NOT(ISNUMBER('Project Register'!G209)),"Effort missing. ","")&amp;IF(D209=0,"No resource. ","")&amp;IF(AND('Project Register'!H209&lt;&gt;"",'Project Register'!I209=""),"Role 1 missing. ","")&amp;IF(AND('Project Register'!J209&lt;&gt;"",'Project Register'!K209=""),"Role 2 missing. ","")&amp;IF(AND('Project Register'!L209&lt;&gt;"",'Project Register'!M209=""),"Role 3 missing. ","")&amp;IF(OR(AND('Project Register'!H209&lt;&gt;"",'Project Register'!H209='Project Register'!J209),AND('Project Register'!H209&lt;&gt;"",'Project Register'!H209='Project Register'!L209),AND('Project Register'!J209&lt;&gt;"",'Project Register'!J209='Project Register'!L209)),"Same person listed twice. ","")&amp;IF(AND('Project Register'!H209&lt;&gt;"",COUNTIF(Resources!$A$2:$A$51,'Project Register'!H209)=0),"Resource 1 not in Resources sheet. ","")&amp;IF(AND('Project Register'!J209&lt;&gt;"",COUNTIF(Resources!$A$2:$A$51,'Project Register'!J209)=0),"Resource 2 not in Resources sheet. ","")&amp;IF(AND('Project Register'!L209&lt;&gt;"",COUNTIF(Resources!$A$2:$A$51,'Project Register'!L209)=0),"Resource 3 not in Resources sheet. ","")&amp;IF('Project Register'!O209="","Test Status missing. ","")&amp;IF(AND(ISNUMBER(E209),E209&gt;1),"This task alone needs over 100% per person. ","")&amp;IF(AND('Project Register'!Q209="Deployed in Live",'Project Register'!R209=""),"Release Date blank (import date will be used). ","")))</f>
        <v/>
      </c>
      <c r="G209" s="17" t="str">
        <f aca="false">IF('Project Register'!$A209="","",IF(F209="","OK","Check"))</f>
        <v/>
      </c>
    </row>
    <row r="210" customFormat="false" ht="15" hidden="false" customHeight="false" outlineLevel="0" collapsed="false">
      <c r="A210" s="15" t="str">
        <f aca="false">IF('Project Register'!$A210="","",ROW('Project Register'!A210))</f>
        <v/>
      </c>
      <c r="B210" s="15" t="str">
        <f aca="false">IF('Project Register'!$A210="","",'Project Register'!B210)</f>
        <v/>
      </c>
      <c r="C210" s="15" t="str">
        <f aca="false">IF('Project Register'!$A210="","",IF(OR('Project Register'!E210="",'Project Register'!F210=""),"",IF('Project Register'!F210&lt;'Project Register'!E210,0,NETWORKDAYS.INTL('Project Register'!E210,'Project Register'!F210,"0000110",Holidays_Leave!$A$3:$A$62))))</f>
        <v/>
      </c>
      <c r="D210" s="15" t="str">
        <f aca="false">IF('Project Register'!$A210="","",('Project Register'!H210&lt;&gt;"")+('Project Register'!J210&lt;&gt;"")+('Project Register'!L210&lt;&gt;""))</f>
        <v/>
      </c>
      <c r="E210" s="16" t="str">
        <f aca="false">IF(OR(C210="",D210="",'Project Register'!G210=""),"",IF(OR(C210=0,D210=0),"",'Project Register'!G210/(C210*D210)))</f>
        <v/>
      </c>
      <c r="F210" s="15" t="str">
        <f aca="false">IF('Project Register'!$A210="","",TRIM(IF(OR('Project Register'!E210="",'Project Register'!F210=""),"Missing date. ","")&amp;IF(AND('Project Register'!E210&lt;&gt;"",'Project Register'!F210&lt;&gt;"",'Project Register'!F210&lt;'Project Register'!E210),"End before start. ","")&amp;IF(NOT(ISNUMBER('Project Register'!G210)),"Effort missing. ","")&amp;IF(D210=0,"No resource. ","")&amp;IF(AND('Project Register'!H210&lt;&gt;"",'Project Register'!I210=""),"Role 1 missing. ","")&amp;IF(AND('Project Register'!J210&lt;&gt;"",'Project Register'!K210=""),"Role 2 missing. ","")&amp;IF(AND('Project Register'!L210&lt;&gt;"",'Project Register'!M210=""),"Role 3 missing. ","")&amp;IF(OR(AND('Project Register'!H210&lt;&gt;"",'Project Register'!H210='Project Register'!J210),AND('Project Register'!H210&lt;&gt;"",'Project Register'!H210='Project Register'!L210),AND('Project Register'!J210&lt;&gt;"",'Project Register'!J210='Project Register'!L210)),"Same person listed twice. ","")&amp;IF(AND('Project Register'!H210&lt;&gt;"",COUNTIF(Resources!$A$2:$A$51,'Project Register'!H210)=0),"Resource 1 not in Resources sheet. ","")&amp;IF(AND('Project Register'!J210&lt;&gt;"",COUNTIF(Resources!$A$2:$A$51,'Project Register'!J210)=0),"Resource 2 not in Resources sheet. ","")&amp;IF(AND('Project Register'!L210&lt;&gt;"",COUNTIF(Resources!$A$2:$A$51,'Project Register'!L210)=0),"Resource 3 not in Resources sheet. ","")&amp;IF('Project Register'!O210="","Test Status missing. ","")&amp;IF(AND(ISNUMBER(E210),E210&gt;1),"This task alone needs over 100% per person. ","")&amp;IF(AND('Project Register'!Q210="Deployed in Live",'Project Register'!R210=""),"Release Date blank (import date will be used). ","")))</f>
        <v/>
      </c>
      <c r="G210" s="17" t="str">
        <f aca="false">IF('Project Register'!$A210="","",IF(F210="","OK","Check"))</f>
        <v/>
      </c>
    </row>
    <row r="211" customFormat="false" ht="15" hidden="false" customHeight="false" outlineLevel="0" collapsed="false">
      <c r="A211" s="15" t="str">
        <f aca="false">IF('Project Register'!$A211="","",ROW('Project Register'!A211))</f>
        <v/>
      </c>
      <c r="B211" s="15" t="str">
        <f aca="false">IF('Project Register'!$A211="","",'Project Register'!B211)</f>
        <v/>
      </c>
      <c r="C211" s="15" t="str">
        <f aca="false">IF('Project Register'!$A211="","",IF(OR('Project Register'!E211="",'Project Register'!F211=""),"",IF('Project Register'!F211&lt;'Project Register'!E211,0,NETWORKDAYS.INTL('Project Register'!E211,'Project Register'!F211,"0000110",Holidays_Leave!$A$3:$A$62))))</f>
        <v/>
      </c>
      <c r="D211" s="15" t="str">
        <f aca="false">IF('Project Register'!$A211="","",('Project Register'!H211&lt;&gt;"")+('Project Register'!J211&lt;&gt;"")+('Project Register'!L211&lt;&gt;""))</f>
        <v/>
      </c>
      <c r="E211" s="16" t="str">
        <f aca="false">IF(OR(C211="",D211="",'Project Register'!G211=""),"",IF(OR(C211=0,D211=0),"",'Project Register'!G211/(C211*D211)))</f>
        <v/>
      </c>
      <c r="F211" s="15" t="str">
        <f aca="false">IF('Project Register'!$A211="","",TRIM(IF(OR('Project Register'!E211="",'Project Register'!F211=""),"Missing date. ","")&amp;IF(AND('Project Register'!E211&lt;&gt;"",'Project Register'!F211&lt;&gt;"",'Project Register'!F211&lt;'Project Register'!E211),"End before start. ","")&amp;IF(NOT(ISNUMBER('Project Register'!G211)),"Effort missing. ","")&amp;IF(D211=0,"No resource. ","")&amp;IF(AND('Project Register'!H211&lt;&gt;"",'Project Register'!I211=""),"Role 1 missing. ","")&amp;IF(AND('Project Register'!J211&lt;&gt;"",'Project Register'!K211=""),"Role 2 missing. ","")&amp;IF(AND('Project Register'!L211&lt;&gt;"",'Project Register'!M211=""),"Role 3 missing. ","")&amp;IF(OR(AND('Project Register'!H211&lt;&gt;"",'Project Register'!H211='Project Register'!J211),AND('Project Register'!H211&lt;&gt;"",'Project Register'!H211='Project Register'!L211),AND('Project Register'!J211&lt;&gt;"",'Project Register'!J211='Project Register'!L211)),"Same person listed twice. ","")&amp;IF(AND('Project Register'!H211&lt;&gt;"",COUNTIF(Resources!$A$2:$A$51,'Project Register'!H211)=0),"Resource 1 not in Resources sheet. ","")&amp;IF(AND('Project Register'!J211&lt;&gt;"",COUNTIF(Resources!$A$2:$A$51,'Project Register'!J211)=0),"Resource 2 not in Resources sheet. ","")&amp;IF(AND('Project Register'!L211&lt;&gt;"",COUNTIF(Resources!$A$2:$A$51,'Project Register'!L211)=0),"Resource 3 not in Resources sheet. ","")&amp;IF('Project Register'!O211="","Test Status missing. ","")&amp;IF(AND(ISNUMBER(E211),E211&gt;1),"This task alone needs over 100% per person. ","")&amp;IF(AND('Project Register'!Q211="Deployed in Live",'Project Register'!R211=""),"Release Date blank (import date will be used). ","")))</f>
        <v/>
      </c>
      <c r="G211" s="17" t="str">
        <f aca="false">IF('Project Register'!$A211="","",IF(F211="","OK","Check"))</f>
        <v/>
      </c>
    </row>
    <row r="212" customFormat="false" ht="15" hidden="false" customHeight="false" outlineLevel="0" collapsed="false">
      <c r="A212" s="15" t="str">
        <f aca="false">IF('Project Register'!$A212="","",ROW('Project Register'!A212))</f>
        <v/>
      </c>
      <c r="B212" s="15" t="str">
        <f aca="false">IF('Project Register'!$A212="","",'Project Register'!B212)</f>
        <v/>
      </c>
      <c r="C212" s="15" t="str">
        <f aca="false">IF('Project Register'!$A212="","",IF(OR('Project Register'!E212="",'Project Register'!F212=""),"",IF('Project Register'!F212&lt;'Project Register'!E212,0,NETWORKDAYS.INTL('Project Register'!E212,'Project Register'!F212,"0000110",Holidays_Leave!$A$3:$A$62))))</f>
        <v/>
      </c>
      <c r="D212" s="15" t="str">
        <f aca="false">IF('Project Register'!$A212="","",('Project Register'!H212&lt;&gt;"")+('Project Register'!J212&lt;&gt;"")+('Project Register'!L212&lt;&gt;""))</f>
        <v/>
      </c>
      <c r="E212" s="16" t="str">
        <f aca="false">IF(OR(C212="",D212="",'Project Register'!G212=""),"",IF(OR(C212=0,D212=0),"",'Project Register'!G212/(C212*D212)))</f>
        <v/>
      </c>
      <c r="F212" s="15" t="str">
        <f aca="false">IF('Project Register'!$A212="","",TRIM(IF(OR('Project Register'!E212="",'Project Register'!F212=""),"Missing date. ","")&amp;IF(AND('Project Register'!E212&lt;&gt;"",'Project Register'!F212&lt;&gt;"",'Project Register'!F212&lt;'Project Register'!E212),"End before start. ","")&amp;IF(NOT(ISNUMBER('Project Register'!G212)),"Effort missing. ","")&amp;IF(D212=0,"No resource. ","")&amp;IF(AND('Project Register'!H212&lt;&gt;"",'Project Register'!I212=""),"Role 1 missing. ","")&amp;IF(AND('Project Register'!J212&lt;&gt;"",'Project Register'!K212=""),"Role 2 missing. ","")&amp;IF(AND('Project Register'!L212&lt;&gt;"",'Project Register'!M212=""),"Role 3 missing. ","")&amp;IF(OR(AND('Project Register'!H212&lt;&gt;"",'Project Register'!H212='Project Register'!J212),AND('Project Register'!H212&lt;&gt;"",'Project Register'!H212='Project Register'!L212),AND('Project Register'!J212&lt;&gt;"",'Project Register'!J212='Project Register'!L212)),"Same person listed twice. ","")&amp;IF(AND('Project Register'!H212&lt;&gt;"",COUNTIF(Resources!$A$2:$A$51,'Project Register'!H212)=0),"Resource 1 not in Resources sheet. ","")&amp;IF(AND('Project Register'!J212&lt;&gt;"",COUNTIF(Resources!$A$2:$A$51,'Project Register'!J212)=0),"Resource 2 not in Resources sheet. ","")&amp;IF(AND('Project Register'!L212&lt;&gt;"",COUNTIF(Resources!$A$2:$A$51,'Project Register'!L212)=0),"Resource 3 not in Resources sheet. ","")&amp;IF('Project Register'!O212="","Test Status missing. ","")&amp;IF(AND(ISNUMBER(E212),E212&gt;1),"This task alone needs over 100% per person. ","")&amp;IF(AND('Project Register'!Q212="Deployed in Live",'Project Register'!R212=""),"Release Date blank (import date will be used). ","")))</f>
        <v/>
      </c>
      <c r="G212" s="17" t="str">
        <f aca="false">IF('Project Register'!$A212="","",IF(F212="","OK","Check"))</f>
        <v/>
      </c>
    </row>
    <row r="213" customFormat="false" ht="15" hidden="false" customHeight="false" outlineLevel="0" collapsed="false">
      <c r="A213" s="15" t="str">
        <f aca="false">IF('Project Register'!$A213="","",ROW('Project Register'!A213))</f>
        <v/>
      </c>
      <c r="B213" s="15" t="str">
        <f aca="false">IF('Project Register'!$A213="","",'Project Register'!B213)</f>
        <v/>
      </c>
      <c r="C213" s="15" t="str">
        <f aca="false">IF('Project Register'!$A213="","",IF(OR('Project Register'!E213="",'Project Register'!F213=""),"",IF('Project Register'!F213&lt;'Project Register'!E213,0,NETWORKDAYS.INTL('Project Register'!E213,'Project Register'!F213,"0000110",Holidays_Leave!$A$3:$A$62))))</f>
        <v/>
      </c>
      <c r="D213" s="15" t="str">
        <f aca="false">IF('Project Register'!$A213="","",('Project Register'!H213&lt;&gt;"")+('Project Register'!J213&lt;&gt;"")+('Project Register'!L213&lt;&gt;""))</f>
        <v/>
      </c>
      <c r="E213" s="16" t="str">
        <f aca="false">IF(OR(C213="",D213="",'Project Register'!G213=""),"",IF(OR(C213=0,D213=0),"",'Project Register'!G213/(C213*D213)))</f>
        <v/>
      </c>
      <c r="F213" s="15" t="str">
        <f aca="false">IF('Project Register'!$A213="","",TRIM(IF(OR('Project Register'!E213="",'Project Register'!F213=""),"Missing date. ","")&amp;IF(AND('Project Register'!E213&lt;&gt;"",'Project Register'!F213&lt;&gt;"",'Project Register'!F213&lt;'Project Register'!E213),"End before start. ","")&amp;IF(NOT(ISNUMBER('Project Register'!G213)),"Effort missing. ","")&amp;IF(D213=0,"No resource. ","")&amp;IF(AND('Project Register'!H213&lt;&gt;"",'Project Register'!I213=""),"Role 1 missing. ","")&amp;IF(AND('Project Register'!J213&lt;&gt;"",'Project Register'!K213=""),"Role 2 missing. ","")&amp;IF(AND('Project Register'!L213&lt;&gt;"",'Project Register'!M213=""),"Role 3 missing. ","")&amp;IF(OR(AND('Project Register'!H213&lt;&gt;"",'Project Register'!H213='Project Register'!J213),AND('Project Register'!H213&lt;&gt;"",'Project Register'!H213='Project Register'!L213),AND('Project Register'!J213&lt;&gt;"",'Project Register'!J213='Project Register'!L213)),"Same person listed twice. ","")&amp;IF(AND('Project Register'!H213&lt;&gt;"",COUNTIF(Resources!$A$2:$A$51,'Project Register'!H213)=0),"Resource 1 not in Resources sheet. ","")&amp;IF(AND('Project Register'!J213&lt;&gt;"",COUNTIF(Resources!$A$2:$A$51,'Project Register'!J213)=0),"Resource 2 not in Resources sheet. ","")&amp;IF(AND('Project Register'!L213&lt;&gt;"",COUNTIF(Resources!$A$2:$A$51,'Project Register'!L213)=0),"Resource 3 not in Resources sheet. ","")&amp;IF('Project Register'!O213="","Test Status missing. ","")&amp;IF(AND(ISNUMBER(E213),E213&gt;1),"This task alone needs over 100% per person. ","")&amp;IF(AND('Project Register'!Q213="Deployed in Live",'Project Register'!R213=""),"Release Date blank (import date will be used). ","")))</f>
        <v/>
      </c>
      <c r="G213" s="17" t="str">
        <f aca="false">IF('Project Register'!$A213="","",IF(F213="","OK","Check"))</f>
        <v/>
      </c>
    </row>
    <row r="214" customFormat="false" ht="15" hidden="false" customHeight="false" outlineLevel="0" collapsed="false">
      <c r="A214" s="15" t="str">
        <f aca="false">IF('Project Register'!$A214="","",ROW('Project Register'!A214))</f>
        <v/>
      </c>
      <c r="B214" s="15" t="str">
        <f aca="false">IF('Project Register'!$A214="","",'Project Register'!B214)</f>
        <v/>
      </c>
      <c r="C214" s="15" t="str">
        <f aca="false">IF('Project Register'!$A214="","",IF(OR('Project Register'!E214="",'Project Register'!F214=""),"",IF('Project Register'!F214&lt;'Project Register'!E214,0,NETWORKDAYS.INTL('Project Register'!E214,'Project Register'!F214,"0000110",Holidays_Leave!$A$3:$A$62))))</f>
        <v/>
      </c>
      <c r="D214" s="15" t="str">
        <f aca="false">IF('Project Register'!$A214="","",('Project Register'!H214&lt;&gt;"")+('Project Register'!J214&lt;&gt;"")+('Project Register'!L214&lt;&gt;""))</f>
        <v/>
      </c>
      <c r="E214" s="16" t="str">
        <f aca="false">IF(OR(C214="",D214="",'Project Register'!G214=""),"",IF(OR(C214=0,D214=0),"",'Project Register'!G214/(C214*D214)))</f>
        <v/>
      </c>
      <c r="F214" s="15" t="str">
        <f aca="false">IF('Project Register'!$A214="","",TRIM(IF(OR('Project Register'!E214="",'Project Register'!F214=""),"Missing date. ","")&amp;IF(AND('Project Register'!E214&lt;&gt;"",'Project Register'!F214&lt;&gt;"",'Project Register'!F214&lt;'Project Register'!E214),"End before start. ","")&amp;IF(NOT(ISNUMBER('Project Register'!G214)),"Effort missing. ","")&amp;IF(D214=0,"No resource. ","")&amp;IF(AND('Project Register'!H214&lt;&gt;"",'Project Register'!I214=""),"Role 1 missing. ","")&amp;IF(AND('Project Register'!J214&lt;&gt;"",'Project Register'!K214=""),"Role 2 missing. ","")&amp;IF(AND('Project Register'!L214&lt;&gt;"",'Project Register'!M214=""),"Role 3 missing. ","")&amp;IF(OR(AND('Project Register'!H214&lt;&gt;"",'Project Register'!H214='Project Register'!J214),AND('Project Register'!H214&lt;&gt;"",'Project Register'!H214='Project Register'!L214),AND('Project Register'!J214&lt;&gt;"",'Project Register'!J214='Project Register'!L214)),"Same person listed twice. ","")&amp;IF(AND('Project Register'!H214&lt;&gt;"",COUNTIF(Resources!$A$2:$A$51,'Project Register'!H214)=0),"Resource 1 not in Resources sheet. ","")&amp;IF(AND('Project Register'!J214&lt;&gt;"",COUNTIF(Resources!$A$2:$A$51,'Project Register'!J214)=0),"Resource 2 not in Resources sheet. ","")&amp;IF(AND('Project Register'!L214&lt;&gt;"",COUNTIF(Resources!$A$2:$A$51,'Project Register'!L214)=0),"Resource 3 not in Resources sheet. ","")&amp;IF('Project Register'!O214="","Test Status missing. ","")&amp;IF(AND(ISNUMBER(E214),E214&gt;1),"This task alone needs over 100% per person. ","")&amp;IF(AND('Project Register'!Q214="Deployed in Live",'Project Register'!R214=""),"Release Date blank (import date will be used). ","")))</f>
        <v/>
      </c>
      <c r="G214" s="17" t="str">
        <f aca="false">IF('Project Register'!$A214="","",IF(F214="","OK","Check"))</f>
        <v/>
      </c>
    </row>
    <row r="215" customFormat="false" ht="15" hidden="false" customHeight="false" outlineLevel="0" collapsed="false">
      <c r="A215" s="15" t="str">
        <f aca="false">IF('Project Register'!$A215="","",ROW('Project Register'!A215))</f>
        <v/>
      </c>
      <c r="B215" s="15" t="str">
        <f aca="false">IF('Project Register'!$A215="","",'Project Register'!B215)</f>
        <v/>
      </c>
      <c r="C215" s="15" t="str">
        <f aca="false">IF('Project Register'!$A215="","",IF(OR('Project Register'!E215="",'Project Register'!F215=""),"",IF('Project Register'!F215&lt;'Project Register'!E215,0,NETWORKDAYS.INTL('Project Register'!E215,'Project Register'!F215,"0000110",Holidays_Leave!$A$3:$A$62))))</f>
        <v/>
      </c>
      <c r="D215" s="15" t="str">
        <f aca="false">IF('Project Register'!$A215="","",('Project Register'!H215&lt;&gt;"")+('Project Register'!J215&lt;&gt;"")+('Project Register'!L215&lt;&gt;""))</f>
        <v/>
      </c>
      <c r="E215" s="16" t="str">
        <f aca="false">IF(OR(C215="",D215="",'Project Register'!G215=""),"",IF(OR(C215=0,D215=0),"",'Project Register'!G215/(C215*D215)))</f>
        <v/>
      </c>
      <c r="F215" s="15" t="str">
        <f aca="false">IF('Project Register'!$A215="","",TRIM(IF(OR('Project Register'!E215="",'Project Register'!F215=""),"Missing date. ","")&amp;IF(AND('Project Register'!E215&lt;&gt;"",'Project Register'!F215&lt;&gt;"",'Project Register'!F215&lt;'Project Register'!E215),"End before start. ","")&amp;IF(NOT(ISNUMBER('Project Register'!G215)),"Effort missing. ","")&amp;IF(D215=0,"No resource. ","")&amp;IF(AND('Project Register'!H215&lt;&gt;"",'Project Register'!I215=""),"Role 1 missing. ","")&amp;IF(AND('Project Register'!J215&lt;&gt;"",'Project Register'!K215=""),"Role 2 missing. ","")&amp;IF(AND('Project Register'!L215&lt;&gt;"",'Project Register'!M215=""),"Role 3 missing. ","")&amp;IF(OR(AND('Project Register'!H215&lt;&gt;"",'Project Register'!H215='Project Register'!J215),AND('Project Register'!H215&lt;&gt;"",'Project Register'!H215='Project Register'!L215),AND('Project Register'!J215&lt;&gt;"",'Project Register'!J215='Project Register'!L215)),"Same person listed twice. ","")&amp;IF(AND('Project Register'!H215&lt;&gt;"",COUNTIF(Resources!$A$2:$A$51,'Project Register'!H215)=0),"Resource 1 not in Resources sheet. ","")&amp;IF(AND('Project Register'!J215&lt;&gt;"",COUNTIF(Resources!$A$2:$A$51,'Project Register'!J215)=0),"Resource 2 not in Resources sheet. ","")&amp;IF(AND('Project Register'!L215&lt;&gt;"",COUNTIF(Resources!$A$2:$A$51,'Project Register'!L215)=0),"Resource 3 not in Resources sheet. ","")&amp;IF('Project Register'!O215="","Test Status missing. ","")&amp;IF(AND(ISNUMBER(E215),E215&gt;1),"This task alone needs over 100% per person. ","")&amp;IF(AND('Project Register'!Q215="Deployed in Live",'Project Register'!R215=""),"Release Date blank (import date will be used). ","")))</f>
        <v/>
      </c>
      <c r="G215" s="17" t="str">
        <f aca="false">IF('Project Register'!$A215="","",IF(F215="","OK","Check"))</f>
        <v/>
      </c>
    </row>
    <row r="216" customFormat="false" ht="15" hidden="false" customHeight="false" outlineLevel="0" collapsed="false">
      <c r="A216" s="15" t="str">
        <f aca="false">IF('Project Register'!$A216="","",ROW('Project Register'!A216))</f>
        <v/>
      </c>
      <c r="B216" s="15" t="str">
        <f aca="false">IF('Project Register'!$A216="","",'Project Register'!B216)</f>
        <v/>
      </c>
      <c r="C216" s="15" t="str">
        <f aca="false">IF('Project Register'!$A216="","",IF(OR('Project Register'!E216="",'Project Register'!F216=""),"",IF('Project Register'!F216&lt;'Project Register'!E216,0,NETWORKDAYS.INTL('Project Register'!E216,'Project Register'!F216,"0000110",Holidays_Leave!$A$3:$A$62))))</f>
        <v/>
      </c>
      <c r="D216" s="15" t="str">
        <f aca="false">IF('Project Register'!$A216="","",('Project Register'!H216&lt;&gt;"")+('Project Register'!J216&lt;&gt;"")+('Project Register'!L216&lt;&gt;""))</f>
        <v/>
      </c>
      <c r="E216" s="16" t="str">
        <f aca="false">IF(OR(C216="",D216="",'Project Register'!G216=""),"",IF(OR(C216=0,D216=0),"",'Project Register'!G216/(C216*D216)))</f>
        <v/>
      </c>
      <c r="F216" s="15" t="str">
        <f aca="false">IF('Project Register'!$A216="","",TRIM(IF(OR('Project Register'!E216="",'Project Register'!F216=""),"Missing date. ","")&amp;IF(AND('Project Register'!E216&lt;&gt;"",'Project Register'!F216&lt;&gt;"",'Project Register'!F216&lt;'Project Register'!E216),"End before start. ","")&amp;IF(NOT(ISNUMBER('Project Register'!G216)),"Effort missing. ","")&amp;IF(D216=0,"No resource. ","")&amp;IF(AND('Project Register'!H216&lt;&gt;"",'Project Register'!I216=""),"Role 1 missing. ","")&amp;IF(AND('Project Register'!J216&lt;&gt;"",'Project Register'!K216=""),"Role 2 missing. ","")&amp;IF(AND('Project Register'!L216&lt;&gt;"",'Project Register'!M216=""),"Role 3 missing. ","")&amp;IF(OR(AND('Project Register'!H216&lt;&gt;"",'Project Register'!H216='Project Register'!J216),AND('Project Register'!H216&lt;&gt;"",'Project Register'!H216='Project Register'!L216),AND('Project Register'!J216&lt;&gt;"",'Project Register'!J216='Project Register'!L216)),"Same person listed twice. ","")&amp;IF(AND('Project Register'!H216&lt;&gt;"",COUNTIF(Resources!$A$2:$A$51,'Project Register'!H216)=0),"Resource 1 not in Resources sheet. ","")&amp;IF(AND('Project Register'!J216&lt;&gt;"",COUNTIF(Resources!$A$2:$A$51,'Project Register'!J216)=0),"Resource 2 not in Resources sheet. ","")&amp;IF(AND('Project Register'!L216&lt;&gt;"",COUNTIF(Resources!$A$2:$A$51,'Project Register'!L216)=0),"Resource 3 not in Resources sheet. ","")&amp;IF('Project Register'!O216="","Test Status missing. ","")&amp;IF(AND(ISNUMBER(E216),E216&gt;1),"This task alone needs over 100% per person. ","")&amp;IF(AND('Project Register'!Q216="Deployed in Live",'Project Register'!R216=""),"Release Date blank (import date will be used). ","")))</f>
        <v/>
      </c>
      <c r="G216" s="17" t="str">
        <f aca="false">IF('Project Register'!$A216="","",IF(F216="","OK","Check"))</f>
        <v/>
      </c>
    </row>
    <row r="217" customFormat="false" ht="15" hidden="false" customHeight="false" outlineLevel="0" collapsed="false">
      <c r="A217" s="15" t="str">
        <f aca="false">IF('Project Register'!$A217="","",ROW('Project Register'!A217))</f>
        <v/>
      </c>
      <c r="B217" s="15" t="str">
        <f aca="false">IF('Project Register'!$A217="","",'Project Register'!B217)</f>
        <v/>
      </c>
      <c r="C217" s="15" t="str">
        <f aca="false">IF('Project Register'!$A217="","",IF(OR('Project Register'!E217="",'Project Register'!F217=""),"",IF('Project Register'!F217&lt;'Project Register'!E217,0,NETWORKDAYS.INTL('Project Register'!E217,'Project Register'!F217,"0000110",Holidays_Leave!$A$3:$A$62))))</f>
        <v/>
      </c>
      <c r="D217" s="15" t="str">
        <f aca="false">IF('Project Register'!$A217="","",('Project Register'!H217&lt;&gt;"")+('Project Register'!J217&lt;&gt;"")+('Project Register'!L217&lt;&gt;""))</f>
        <v/>
      </c>
      <c r="E217" s="16" t="str">
        <f aca="false">IF(OR(C217="",D217="",'Project Register'!G217=""),"",IF(OR(C217=0,D217=0),"",'Project Register'!G217/(C217*D217)))</f>
        <v/>
      </c>
      <c r="F217" s="15" t="str">
        <f aca="false">IF('Project Register'!$A217="","",TRIM(IF(OR('Project Register'!E217="",'Project Register'!F217=""),"Missing date. ","")&amp;IF(AND('Project Register'!E217&lt;&gt;"",'Project Register'!F217&lt;&gt;"",'Project Register'!F217&lt;'Project Register'!E217),"End before start. ","")&amp;IF(NOT(ISNUMBER('Project Register'!G217)),"Effort missing. ","")&amp;IF(D217=0,"No resource. ","")&amp;IF(AND('Project Register'!H217&lt;&gt;"",'Project Register'!I217=""),"Role 1 missing. ","")&amp;IF(AND('Project Register'!J217&lt;&gt;"",'Project Register'!K217=""),"Role 2 missing. ","")&amp;IF(AND('Project Register'!L217&lt;&gt;"",'Project Register'!M217=""),"Role 3 missing. ","")&amp;IF(OR(AND('Project Register'!H217&lt;&gt;"",'Project Register'!H217='Project Register'!J217),AND('Project Register'!H217&lt;&gt;"",'Project Register'!H217='Project Register'!L217),AND('Project Register'!J217&lt;&gt;"",'Project Register'!J217='Project Register'!L217)),"Same person listed twice. ","")&amp;IF(AND('Project Register'!H217&lt;&gt;"",COUNTIF(Resources!$A$2:$A$51,'Project Register'!H217)=0),"Resource 1 not in Resources sheet. ","")&amp;IF(AND('Project Register'!J217&lt;&gt;"",COUNTIF(Resources!$A$2:$A$51,'Project Register'!J217)=0),"Resource 2 not in Resources sheet. ","")&amp;IF(AND('Project Register'!L217&lt;&gt;"",COUNTIF(Resources!$A$2:$A$51,'Project Register'!L217)=0),"Resource 3 not in Resources sheet. ","")&amp;IF('Project Register'!O217="","Test Status missing. ","")&amp;IF(AND(ISNUMBER(E217),E217&gt;1),"This task alone needs over 100% per person. ","")&amp;IF(AND('Project Register'!Q217="Deployed in Live",'Project Register'!R217=""),"Release Date blank (import date will be used). ","")))</f>
        <v/>
      </c>
      <c r="G217" s="17" t="str">
        <f aca="false">IF('Project Register'!$A217="","",IF(F217="","OK","Check"))</f>
        <v/>
      </c>
    </row>
    <row r="218" customFormat="false" ht="15" hidden="false" customHeight="false" outlineLevel="0" collapsed="false">
      <c r="A218" s="15" t="str">
        <f aca="false">IF('Project Register'!$A218="","",ROW('Project Register'!A218))</f>
        <v/>
      </c>
      <c r="B218" s="15" t="str">
        <f aca="false">IF('Project Register'!$A218="","",'Project Register'!B218)</f>
        <v/>
      </c>
      <c r="C218" s="15" t="str">
        <f aca="false">IF('Project Register'!$A218="","",IF(OR('Project Register'!E218="",'Project Register'!F218=""),"",IF('Project Register'!F218&lt;'Project Register'!E218,0,NETWORKDAYS.INTL('Project Register'!E218,'Project Register'!F218,"0000110",Holidays_Leave!$A$3:$A$62))))</f>
        <v/>
      </c>
      <c r="D218" s="15" t="str">
        <f aca="false">IF('Project Register'!$A218="","",('Project Register'!H218&lt;&gt;"")+('Project Register'!J218&lt;&gt;"")+('Project Register'!L218&lt;&gt;""))</f>
        <v/>
      </c>
      <c r="E218" s="16" t="str">
        <f aca="false">IF(OR(C218="",D218="",'Project Register'!G218=""),"",IF(OR(C218=0,D218=0),"",'Project Register'!G218/(C218*D218)))</f>
        <v/>
      </c>
      <c r="F218" s="15" t="str">
        <f aca="false">IF('Project Register'!$A218="","",TRIM(IF(OR('Project Register'!E218="",'Project Register'!F218=""),"Missing date. ","")&amp;IF(AND('Project Register'!E218&lt;&gt;"",'Project Register'!F218&lt;&gt;"",'Project Register'!F218&lt;'Project Register'!E218),"End before start. ","")&amp;IF(NOT(ISNUMBER('Project Register'!G218)),"Effort missing. ","")&amp;IF(D218=0,"No resource. ","")&amp;IF(AND('Project Register'!H218&lt;&gt;"",'Project Register'!I218=""),"Role 1 missing. ","")&amp;IF(AND('Project Register'!J218&lt;&gt;"",'Project Register'!K218=""),"Role 2 missing. ","")&amp;IF(AND('Project Register'!L218&lt;&gt;"",'Project Register'!M218=""),"Role 3 missing. ","")&amp;IF(OR(AND('Project Register'!H218&lt;&gt;"",'Project Register'!H218='Project Register'!J218),AND('Project Register'!H218&lt;&gt;"",'Project Register'!H218='Project Register'!L218),AND('Project Register'!J218&lt;&gt;"",'Project Register'!J218='Project Register'!L218)),"Same person listed twice. ","")&amp;IF(AND('Project Register'!H218&lt;&gt;"",COUNTIF(Resources!$A$2:$A$51,'Project Register'!H218)=0),"Resource 1 not in Resources sheet. ","")&amp;IF(AND('Project Register'!J218&lt;&gt;"",COUNTIF(Resources!$A$2:$A$51,'Project Register'!J218)=0),"Resource 2 not in Resources sheet. ","")&amp;IF(AND('Project Register'!L218&lt;&gt;"",COUNTIF(Resources!$A$2:$A$51,'Project Register'!L218)=0),"Resource 3 not in Resources sheet. ","")&amp;IF('Project Register'!O218="","Test Status missing. ","")&amp;IF(AND(ISNUMBER(E218),E218&gt;1),"This task alone needs over 100% per person. ","")&amp;IF(AND('Project Register'!Q218="Deployed in Live",'Project Register'!R218=""),"Release Date blank (import date will be used). ","")))</f>
        <v/>
      </c>
      <c r="G218" s="17" t="str">
        <f aca="false">IF('Project Register'!$A218="","",IF(F218="","OK","Check"))</f>
        <v/>
      </c>
    </row>
    <row r="219" customFormat="false" ht="15" hidden="false" customHeight="false" outlineLevel="0" collapsed="false">
      <c r="A219" s="15" t="str">
        <f aca="false">IF('Project Register'!$A219="","",ROW('Project Register'!A219))</f>
        <v/>
      </c>
      <c r="B219" s="15" t="str">
        <f aca="false">IF('Project Register'!$A219="","",'Project Register'!B219)</f>
        <v/>
      </c>
      <c r="C219" s="15" t="str">
        <f aca="false">IF('Project Register'!$A219="","",IF(OR('Project Register'!E219="",'Project Register'!F219=""),"",IF('Project Register'!F219&lt;'Project Register'!E219,0,NETWORKDAYS.INTL('Project Register'!E219,'Project Register'!F219,"0000110",Holidays_Leave!$A$3:$A$62))))</f>
        <v/>
      </c>
      <c r="D219" s="15" t="str">
        <f aca="false">IF('Project Register'!$A219="","",('Project Register'!H219&lt;&gt;"")+('Project Register'!J219&lt;&gt;"")+('Project Register'!L219&lt;&gt;""))</f>
        <v/>
      </c>
      <c r="E219" s="16" t="str">
        <f aca="false">IF(OR(C219="",D219="",'Project Register'!G219=""),"",IF(OR(C219=0,D219=0),"",'Project Register'!G219/(C219*D219)))</f>
        <v/>
      </c>
      <c r="F219" s="15" t="str">
        <f aca="false">IF('Project Register'!$A219="","",TRIM(IF(OR('Project Register'!E219="",'Project Register'!F219=""),"Missing date. ","")&amp;IF(AND('Project Register'!E219&lt;&gt;"",'Project Register'!F219&lt;&gt;"",'Project Register'!F219&lt;'Project Register'!E219),"End before start. ","")&amp;IF(NOT(ISNUMBER('Project Register'!G219)),"Effort missing. ","")&amp;IF(D219=0,"No resource. ","")&amp;IF(AND('Project Register'!H219&lt;&gt;"",'Project Register'!I219=""),"Role 1 missing. ","")&amp;IF(AND('Project Register'!J219&lt;&gt;"",'Project Register'!K219=""),"Role 2 missing. ","")&amp;IF(AND('Project Register'!L219&lt;&gt;"",'Project Register'!M219=""),"Role 3 missing. ","")&amp;IF(OR(AND('Project Register'!H219&lt;&gt;"",'Project Register'!H219='Project Register'!J219),AND('Project Register'!H219&lt;&gt;"",'Project Register'!H219='Project Register'!L219),AND('Project Register'!J219&lt;&gt;"",'Project Register'!J219='Project Register'!L219)),"Same person listed twice. ","")&amp;IF(AND('Project Register'!H219&lt;&gt;"",COUNTIF(Resources!$A$2:$A$51,'Project Register'!H219)=0),"Resource 1 not in Resources sheet. ","")&amp;IF(AND('Project Register'!J219&lt;&gt;"",COUNTIF(Resources!$A$2:$A$51,'Project Register'!J219)=0),"Resource 2 not in Resources sheet. ","")&amp;IF(AND('Project Register'!L219&lt;&gt;"",COUNTIF(Resources!$A$2:$A$51,'Project Register'!L219)=0),"Resource 3 not in Resources sheet. ","")&amp;IF('Project Register'!O219="","Test Status missing. ","")&amp;IF(AND(ISNUMBER(E219),E219&gt;1),"This task alone needs over 100% per person. ","")&amp;IF(AND('Project Register'!Q219="Deployed in Live",'Project Register'!R219=""),"Release Date blank (import date will be used). ","")))</f>
        <v/>
      </c>
      <c r="G219" s="17" t="str">
        <f aca="false">IF('Project Register'!$A219="","",IF(F219="","OK","Check"))</f>
        <v/>
      </c>
    </row>
    <row r="220" customFormat="false" ht="15" hidden="false" customHeight="false" outlineLevel="0" collapsed="false">
      <c r="A220" s="15" t="str">
        <f aca="false">IF('Project Register'!$A220="","",ROW('Project Register'!A220))</f>
        <v/>
      </c>
      <c r="B220" s="15" t="str">
        <f aca="false">IF('Project Register'!$A220="","",'Project Register'!B220)</f>
        <v/>
      </c>
      <c r="C220" s="15" t="str">
        <f aca="false">IF('Project Register'!$A220="","",IF(OR('Project Register'!E220="",'Project Register'!F220=""),"",IF('Project Register'!F220&lt;'Project Register'!E220,0,NETWORKDAYS.INTL('Project Register'!E220,'Project Register'!F220,"0000110",Holidays_Leave!$A$3:$A$62))))</f>
        <v/>
      </c>
      <c r="D220" s="15" t="str">
        <f aca="false">IF('Project Register'!$A220="","",('Project Register'!H220&lt;&gt;"")+('Project Register'!J220&lt;&gt;"")+('Project Register'!L220&lt;&gt;""))</f>
        <v/>
      </c>
      <c r="E220" s="16" t="str">
        <f aca="false">IF(OR(C220="",D220="",'Project Register'!G220=""),"",IF(OR(C220=0,D220=0),"",'Project Register'!G220/(C220*D220)))</f>
        <v/>
      </c>
      <c r="F220" s="15" t="str">
        <f aca="false">IF('Project Register'!$A220="","",TRIM(IF(OR('Project Register'!E220="",'Project Register'!F220=""),"Missing date. ","")&amp;IF(AND('Project Register'!E220&lt;&gt;"",'Project Register'!F220&lt;&gt;"",'Project Register'!F220&lt;'Project Register'!E220),"End before start. ","")&amp;IF(NOT(ISNUMBER('Project Register'!G220)),"Effort missing. ","")&amp;IF(D220=0,"No resource. ","")&amp;IF(AND('Project Register'!H220&lt;&gt;"",'Project Register'!I220=""),"Role 1 missing. ","")&amp;IF(AND('Project Register'!J220&lt;&gt;"",'Project Register'!K220=""),"Role 2 missing. ","")&amp;IF(AND('Project Register'!L220&lt;&gt;"",'Project Register'!M220=""),"Role 3 missing. ","")&amp;IF(OR(AND('Project Register'!H220&lt;&gt;"",'Project Register'!H220='Project Register'!J220),AND('Project Register'!H220&lt;&gt;"",'Project Register'!H220='Project Register'!L220),AND('Project Register'!J220&lt;&gt;"",'Project Register'!J220='Project Register'!L220)),"Same person listed twice. ","")&amp;IF(AND('Project Register'!H220&lt;&gt;"",COUNTIF(Resources!$A$2:$A$51,'Project Register'!H220)=0),"Resource 1 not in Resources sheet. ","")&amp;IF(AND('Project Register'!J220&lt;&gt;"",COUNTIF(Resources!$A$2:$A$51,'Project Register'!J220)=0),"Resource 2 not in Resources sheet. ","")&amp;IF(AND('Project Register'!L220&lt;&gt;"",COUNTIF(Resources!$A$2:$A$51,'Project Register'!L220)=0),"Resource 3 not in Resources sheet. ","")&amp;IF('Project Register'!O220="","Test Status missing. ","")&amp;IF(AND(ISNUMBER(E220),E220&gt;1),"This task alone needs over 100% per person. ","")&amp;IF(AND('Project Register'!Q220="Deployed in Live",'Project Register'!R220=""),"Release Date blank (import date will be used). ","")))</f>
        <v/>
      </c>
      <c r="G220" s="17" t="str">
        <f aca="false">IF('Project Register'!$A220="","",IF(F220="","OK","Check"))</f>
        <v/>
      </c>
    </row>
    <row r="221" customFormat="false" ht="15" hidden="false" customHeight="false" outlineLevel="0" collapsed="false">
      <c r="A221" s="15" t="str">
        <f aca="false">IF('Project Register'!$A221="","",ROW('Project Register'!A221))</f>
        <v/>
      </c>
      <c r="B221" s="15" t="str">
        <f aca="false">IF('Project Register'!$A221="","",'Project Register'!B221)</f>
        <v/>
      </c>
      <c r="C221" s="15" t="str">
        <f aca="false">IF('Project Register'!$A221="","",IF(OR('Project Register'!E221="",'Project Register'!F221=""),"",IF('Project Register'!F221&lt;'Project Register'!E221,0,NETWORKDAYS.INTL('Project Register'!E221,'Project Register'!F221,"0000110",Holidays_Leave!$A$3:$A$62))))</f>
        <v/>
      </c>
      <c r="D221" s="15" t="str">
        <f aca="false">IF('Project Register'!$A221="","",('Project Register'!H221&lt;&gt;"")+('Project Register'!J221&lt;&gt;"")+('Project Register'!L221&lt;&gt;""))</f>
        <v/>
      </c>
      <c r="E221" s="16" t="str">
        <f aca="false">IF(OR(C221="",D221="",'Project Register'!G221=""),"",IF(OR(C221=0,D221=0),"",'Project Register'!G221/(C221*D221)))</f>
        <v/>
      </c>
      <c r="F221" s="15" t="str">
        <f aca="false">IF('Project Register'!$A221="","",TRIM(IF(OR('Project Register'!E221="",'Project Register'!F221=""),"Missing date. ","")&amp;IF(AND('Project Register'!E221&lt;&gt;"",'Project Register'!F221&lt;&gt;"",'Project Register'!F221&lt;'Project Register'!E221),"End before start. ","")&amp;IF(NOT(ISNUMBER('Project Register'!G221)),"Effort missing. ","")&amp;IF(D221=0,"No resource. ","")&amp;IF(AND('Project Register'!H221&lt;&gt;"",'Project Register'!I221=""),"Role 1 missing. ","")&amp;IF(AND('Project Register'!J221&lt;&gt;"",'Project Register'!K221=""),"Role 2 missing. ","")&amp;IF(AND('Project Register'!L221&lt;&gt;"",'Project Register'!M221=""),"Role 3 missing. ","")&amp;IF(OR(AND('Project Register'!H221&lt;&gt;"",'Project Register'!H221='Project Register'!J221),AND('Project Register'!H221&lt;&gt;"",'Project Register'!H221='Project Register'!L221),AND('Project Register'!J221&lt;&gt;"",'Project Register'!J221='Project Register'!L221)),"Same person listed twice. ","")&amp;IF(AND('Project Register'!H221&lt;&gt;"",COUNTIF(Resources!$A$2:$A$51,'Project Register'!H221)=0),"Resource 1 not in Resources sheet. ","")&amp;IF(AND('Project Register'!J221&lt;&gt;"",COUNTIF(Resources!$A$2:$A$51,'Project Register'!J221)=0),"Resource 2 not in Resources sheet. ","")&amp;IF(AND('Project Register'!L221&lt;&gt;"",COUNTIF(Resources!$A$2:$A$51,'Project Register'!L221)=0),"Resource 3 not in Resources sheet. ","")&amp;IF('Project Register'!O221="","Test Status missing. ","")&amp;IF(AND(ISNUMBER(E221),E221&gt;1),"This task alone needs over 100% per person. ","")&amp;IF(AND('Project Register'!Q221="Deployed in Live",'Project Register'!R221=""),"Release Date blank (import date will be used). ","")))</f>
        <v/>
      </c>
      <c r="G221" s="17" t="str">
        <f aca="false">IF('Project Register'!$A221="","",IF(F221="","OK","Check"))</f>
        <v/>
      </c>
    </row>
    <row r="222" customFormat="false" ht="15" hidden="false" customHeight="false" outlineLevel="0" collapsed="false">
      <c r="A222" s="15" t="str">
        <f aca="false">IF('Project Register'!$A222="","",ROW('Project Register'!A222))</f>
        <v/>
      </c>
      <c r="B222" s="15" t="str">
        <f aca="false">IF('Project Register'!$A222="","",'Project Register'!B222)</f>
        <v/>
      </c>
      <c r="C222" s="15" t="str">
        <f aca="false">IF('Project Register'!$A222="","",IF(OR('Project Register'!E222="",'Project Register'!F222=""),"",IF('Project Register'!F222&lt;'Project Register'!E222,0,NETWORKDAYS.INTL('Project Register'!E222,'Project Register'!F222,"0000110",Holidays_Leave!$A$3:$A$62))))</f>
        <v/>
      </c>
      <c r="D222" s="15" t="str">
        <f aca="false">IF('Project Register'!$A222="","",('Project Register'!H222&lt;&gt;"")+('Project Register'!J222&lt;&gt;"")+('Project Register'!L222&lt;&gt;""))</f>
        <v/>
      </c>
      <c r="E222" s="16" t="str">
        <f aca="false">IF(OR(C222="",D222="",'Project Register'!G222=""),"",IF(OR(C222=0,D222=0),"",'Project Register'!G222/(C222*D222)))</f>
        <v/>
      </c>
      <c r="F222" s="15" t="str">
        <f aca="false">IF('Project Register'!$A222="","",TRIM(IF(OR('Project Register'!E222="",'Project Register'!F222=""),"Missing date. ","")&amp;IF(AND('Project Register'!E222&lt;&gt;"",'Project Register'!F222&lt;&gt;"",'Project Register'!F222&lt;'Project Register'!E222),"End before start. ","")&amp;IF(NOT(ISNUMBER('Project Register'!G222)),"Effort missing. ","")&amp;IF(D222=0,"No resource. ","")&amp;IF(AND('Project Register'!H222&lt;&gt;"",'Project Register'!I222=""),"Role 1 missing. ","")&amp;IF(AND('Project Register'!J222&lt;&gt;"",'Project Register'!K222=""),"Role 2 missing. ","")&amp;IF(AND('Project Register'!L222&lt;&gt;"",'Project Register'!M222=""),"Role 3 missing. ","")&amp;IF(OR(AND('Project Register'!H222&lt;&gt;"",'Project Register'!H222='Project Register'!J222),AND('Project Register'!H222&lt;&gt;"",'Project Register'!H222='Project Register'!L222),AND('Project Register'!J222&lt;&gt;"",'Project Register'!J222='Project Register'!L222)),"Same person listed twice. ","")&amp;IF(AND('Project Register'!H222&lt;&gt;"",COUNTIF(Resources!$A$2:$A$51,'Project Register'!H222)=0),"Resource 1 not in Resources sheet. ","")&amp;IF(AND('Project Register'!J222&lt;&gt;"",COUNTIF(Resources!$A$2:$A$51,'Project Register'!J222)=0),"Resource 2 not in Resources sheet. ","")&amp;IF(AND('Project Register'!L222&lt;&gt;"",COUNTIF(Resources!$A$2:$A$51,'Project Register'!L222)=0),"Resource 3 not in Resources sheet. ","")&amp;IF('Project Register'!O222="","Test Status missing. ","")&amp;IF(AND(ISNUMBER(E222),E222&gt;1),"This task alone needs over 100% per person. ","")&amp;IF(AND('Project Register'!Q222="Deployed in Live",'Project Register'!R222=""),"Release Date blank (import date will be used). ","")))</f>
        <v/>
      </c>
      <c r="G222" s="17" t="str">
        <f aca="false">IF('Project Register'!$A222="","",IF(F222="","OK","Check"))</f>
        <v/>
      </c>
    </row>
    <row r="223" customFormat="false" ht="15" hidden="false" customHeight="false" outlineLevel="0" collapsed="false">
      <c r="A223" s="15" t="str">
        <f aca="false">IF('Project Register'!$A223="","",ROW('Project Register'!A223))</f>
        <v/>
      </c>
      <c r="B223" s="15" t="str">
        <f aca="false">IF('Project Register'!$A223="","",'Project Register'!B223)</f>
        <v/>
      </c>
      <c r="C223" s="15" t="str">
        <f aca="false">IF('Project Register'!$A223="","",IF(OR('Project Register'!E223="",'Project Register'!F223=""),"",IF('Project Register'!F223&lt;'Project Register'!E223,0,NETWORKDAYS.INTL('Project Register'!E223,'Project Register'!F223,"0000110",Holidays_Leave!$A$3:$A$62))))</f>
        <v/>
      </c>
      <c r="D223" s="15" t="str">
        <f aca="false">IF('Project Register'!$A223="","",('Project Register'!H223&lt;&gt;"")+('Project Register'!J223&lt;&gt;"")+('Project Register'!L223&lt;&gt;""))</f>
        <v/>
      </c>
      <c r="E223" s="16" t="str">
        <f aca="false">IF(OR(C223="",D223="",'Project Register'!G223=""),"",IF(OR(C223=0,D223=0),"",'Project Register'!G223/(C223*D223)))</f>
        <v/>
      </c>
      <c r="F223" s="15" t="str">
        <f aca="false">IF('Project Register'!$A223="","",TRIM(IF(OR('Project Register'!E223="",'Project Register'!F223=""),"Missing date. ","")&amp;IF(AND('Project Register'!E223&lt;&gt;"",'Project Register'!F223&lt;&gt;"",'Project Register'!F223&lt;'Project Register'!E223),"End before start. ","")&amp;IF(NOT(ISNUMBER('Project Register'!G223)),"Effort missing. ","")&amp;IF(D223=0,"No resource. ","")&amp;IF(AND('Project Register'!H223&lt;&gt;"",'Project Register'!I223=""),"Role 1 missing. ","")&amp;IF(AND('Project Register'!J223&lt;&gt;"",'Project Register'!K223=""),"Role 2 missing. ","")&amp;IF(AND('Project Register'!L223&lt;&gt;"",'Project Register'!M223=""),"Role 3 missing. ","")&amp;IF(OR(AND('Project Register'!H223&lt;&gt;"",'Project Register'!H223='Project Register'!J223),AND('Project Register'!H223&lt;&gt;"",'Project Register'!H223='Project Register'!L223),AND('Project Register'!J223&lt;&gt;"",'Project Register'!J223='Project Register'!L223)),"Same person listed twice. ","")&amp;IF(AND('Project Register'!H223&lt;&gt;"",COUNTIF(Resources!$A$2:$A$51,'Project Register'!H223)=0),"Resource 1 not in Resources sheet. ","")&amp;IF(AND('Project Register'!J223&lt;&gt;"",COUNTIF(Resources!$A$2:$A$51,'Project Register'!J223)=0),"Resource 2 not in Resources sheet. ","")&amp;IF(AND('Project Register'!L223&lt;&gt;"",COUNTIF(Resources!$A$2:$A$51,'Project Register'!L223)=0),"Resource 3 not in Resources sheet. ","")&amp;IF('Project Register'!O223="","Test Status missing. ","")&amp;IF(AND(ISNUMBER(E223),E223&gt;1),"This task alone needs over 100% per person. ","")&amp;IF(AND('Project Register'!Q223="Deployed in Live",'Project Register'!R223=""),"Release Date blank (import date will be used). ","")))</f>
        <v/>
      </c>
      <c r="G223" s="17" t="str">
        <f aca="false">IF('Project Register'!$A223="","",IF(F223="","OK","Check"))</f>
        <v/>
      </c>
    </row>
    <row r="224" customFormat="false" ht="15" hidden="false" customHeight="false" outlineLevel="0" collapsed="false">
      <c r="A224" s="15" t="str">
        <f aca="false">IF('Project Register'!$A224="","",ROW('Project Register'!A224))</f>
        <v/>
      </c>
      <c r="B224" s="15" t="str">
        <f aca="false">IF('Project Register'!$A224="","",'Project Register'!B224)</f>
        <v/>
      </c>
      <c r="C224" s="15" t="str">
        <f aca="false">IF('Project Register'!$A224="","",IF(OR('Project Register'!E224="",'Project Register'!F224=""),"",IF('Project Register'!F224&lt;'Project Register'!E224,0,NETWORKDAYS.INTL('Project Register'!E224,'Project Register'!F224,"0000110",Holidays_Leave!$A$3:$A$62))))</f>
        <v/>
      </c>
      <c r="D224" s="15" t="str">
        <f aca="false">IF('Project Register'!$A224="","",('Project Register'!H224&lt;&gt;"")+('Project Register'!J224&lt;&gt;"")+('Project Register'!L224&lt;&gt;""))</f>
        <v/>
      </c>
      <c r="E224" s="16" t="str">
        <f aca="false">IF(OR(C224="",D224="",'Project Register'!G224=""),"",IF(OR(C224=0,D224=0),"",'Project Register'!G224/(C224*D224)))</f>
        <v/>
      </c>
      <c r="F224" s="15" t="str">
        <f aca="false">IF('Project Register'!$A224="","",TRIM(IF(OR('Project Register'!E224="",'Project Register'!F224=""),"Missing date. ","")&amp;IF(AND('Project Register'!E224&lt;&gt;"",'Project Register'!F224&lt;&gt;"",'Project Register'!F224&lt;'Project Register'!E224),"End before start. ","")&amp;IF(NOT(ISNUMBER('Project Register'!G224)),"Effort missing. ","")&amp;IF(D224=0,"No resource. ","")&amp;IF(AND('Project Register'!H224&lt;&gt;"",'Project Register'!I224=""),"Role 1 missing. ","")&amp;IF(AND('Project Register'!J224&lt;&gt;"",'Project Register'!K224=""),"Role 2 missing. ","")&amp;IF(AND('Project Register'!L224&lt;&gt;"",'Project Register'!M224=""),"Role 3 missing. ","")&amp;IF(OR(AND('Project Register'!H224&lt;&gt;"",'Project Register'!H224='Project Register'!J224),AND('Project Register'!H224&lt;&gt;"",'Project Register'!H224='Project Register'!L224),AND('Project Register'!J224&lt;&gt;"",'Project Register'!J224='Project Register'!L224)),"Same person listed twice. ","")&amp;IF(AND('Project Register'!H224&lt;&gt;"",COUNTIF(Resources!$A$2:$A$51,'Project Register'!H224)=0),"Resource 1 not in Resources sheet. ","")&amp;IF(AND('Project Register'!J224&lt;&gt;"",COUNTIF(Resources!$A$2:$A$51,'Project Register'!J224)=0),"Resource 2 not in Resources sheet. ","")&amp;IF(AND('Project Register'!L224&lt;&gt;"",COUNTIF(Resources!$A$2:$A$51,'Project Register'!L224)=0),"Resource 3 not in Resources sheet. ","")&amp;IF('Project Register'!O224="","Test Status missing. ","")&amp;IF(AND(ISNUMBER(E224),E224&gt;1),"This task alone needs over 100% per person. ","")&amp;IF(AND('Project Register'!Q224="Deployed in Live",'Project Register'!R224=""),"Release Date blank (import date will be used). ","")))</f>
        <v/>
      </c>
      <c r="G224" s="17" t="str">
        <f aca="false">IF('Project Register'!$A224="","",IF(F224="","OK","Check"))</f>
        <v/>
      </c>
    </row>
    <row r="225" customFormat="false" ht="15" hidden="false" customHeight="false" outlineLevel="0" collapsed="false">
      <c r="A225" s="15" t="str">
        <f aca="false">IF('Project Register'!$A225="","",ROW('Project Register'!A225))</f>
        <v/>
      </c>
      <c r="B225" s="15" t="str">
        <f aca="false">IF('Project Register'!$A225="","",'Project Register'!B225)</f>
        <v/>
      </c>
      <c r="C225" s="15" t="str">
        <f aca="false">IF('Project Register'!$A225="","",IF(OR('Project Register'!E225="",'Project Register'!F225=""),"",IF('Project Register'!F225&lt;'Project Register'!E225,0,NETWORKDAYS.INTL('Project Register'!E225,'Project Register'!F225,"0000110",Holidays_Leave!$A$3:$A$62))))</f>
        <v/>
      </c>
      <c r="D225" s="15" t="str">
        <f aca="false">IF('Project Register'!$A225="","",('Project Register'!H225&lt;&gt;"")+('Project Register'!J225&lt;&gt;"")+('Project Register'!L225&lt;&gt;""))</f>
        <v/>
      </c>
      <c r="E225" s="16" t="str">
        <f aca="false">IF(OR(C225="",D225="",'Project Register'!G225=""),"",IF(OR(C225=0,D225=0),"",'Project Register'!G225/(C225*D225)))</f>
        <v/>
      </c>
      <c r="F225" s="15" t="str">
        <f aca="false">IF('Project Register'!$A225="","",TRIM(IF(OR('Project Register'!E225="",'Project Register'!F225=""),"Missing date. ","")&amp;IF(AND('Project Register'!E225&lt;&gt;"",'Project Register'!F225&lt;&gt;"",'Project Register'!F225&lt;'Project Register'!E225),"End before start. ","")&amp;IF(NOT(ISNUMBER('Project Register'!G225)),"Effort missing. ","")&amp;IF(D225=0,"No resource. ","")&amp;IF(AND('Project Register'!H225&lt;&gt;"",'Project Register'!I225=""),"Role 1 missing. ","")&amp;IF(AND('Project Register'!J225&lt;&gt;"",'Project Register'!K225=""),"Role 2 missing. ","")&amp;IF(AND('Project Register'!L225&lt;&gt;"",'Project Register'!M225=""),"Role 3 missing. ","")&amp;IF(OR(AND('Project Register'!H225&lt;&gt;"",'Project Register'!H225='Project Register'!J225),AND('Project Register'!H225&lt;&gt;"",'Project Register'!H225='Project Register'!L225),AND('Project Register'!J225&lt;&gt;"",'Project Register'!J225='Project Register'!L225)),"Same person listed twice. ","")&amp;IF(AND('Project Register'!H225&lt;&gt;"",COUNTIF(Resources!$A$2:$A$51,'Project Register'!H225)=0),"Resource 1 not in Resources sheet. ","")&amp;IF(AND('Project Register'!J225&lt;&gt;"",COUNTIF(Resources!$A$2:$A$51,'Project Register'!J225)=0),"Resource 2 not in Resources sheet. ","")&amp;IF(AND('Project Register'!L225&lt;&gt;"",COUNTIF(Resources!$A$2:$A$51,'Project Register'!L225)=0),"Resource 3 not in Resources sheet. ","")&amp;IF('Project Register'!O225="","Test Status missing. ","")&amp;IF(AND(ISNUMBER(E225),E225&gt;1),"This task alone needs over 100% per person. ","")&amp;IF(AND('Project Register'!Q225="Deployed in Live",'Project Register'!R225=""),"Release Date blank (import date will be used). ","")))</f>
        <v/>
      </c>
      <c r="G225" s="17" t="str">
        <f aca="false">IF('Project Register'!$A225="","",IF(F225="","OK","Check"))</f>
        <v/>
      </c>
    </row>
    <row r="226" customFormat="false" ht="15" hidden="false" customHeight="false" outlineLevel="0" collapsed="false">
      <c r="A226" s="15" t="str">
        <f aca="false">IF('Project Register'!$A226="","",ROW('Project Register'!A226))</f>
        <v/>
      </c>
      <c r="B226" s="15" t="str">
        <f aca="false">IF('Project Register'!$A226="","",'Project Register'!B226)</f>
        <v/>
      </c>
      <c r="C226" s="15" t="str">
        <f aca="false">IF('Project Register'!$A226="","",IF(OR('Project Register'!E226="",'Project Register'!F226=""),"",IF('Project Register'!F226&lt;'Project Register'!E226,0,NETWORKDAYS.INTL('Project Register'!E226,'Project Register'!F226,"0000110",Holidays_Leave!$A$3:$A$62))))</f>
        <v/>
      </c>
      <c r="D226" s="15" t="str">
        <f aca="false">IF('Project Register'!$A226="","",('Project Register'!H226&lt;&gt;"")+('Project Register'!J226&lt;&gt;"")+('Project Register'!L226&lt;&gt;""))</f>
        <v/>
      </c>
      <c r="E226" s="16" t="str">
        <f aca="false">IF(OR(C226="",D226="",'Project Register'!G226=""),"",IF(OR(C226=0,D226=0),"",'Project Register'!G226/(C226*D226)))</f>
        <v/>
      </c>
      <c r="F226" s="15" t="str">
        <f aca="false">IF('Project Register'!$A226="","",TRIM(IF(OR('Project Register'!E226="",'Project Register'!F226=""),"Missing date. ","")&amp;IF(AND('Project Register'!E226&lt;&gt;"",'Project Register'!F226&lt;&gt;"",'Project Register'!F226&lt;'Project Register'!E226),"End before start. ","")&amp;IF(NOT(ISNUMBER('Project Register'!G226)),"Effort missing. ","")&amp;IF(D226=0,"No resource. ","")&amp;IF(AND('Project Register'!H226&lt;&gt;"",'Project Register'!I226=""),"Role 1 missing. ","")&amp;IF(AND('Project Register'!J226&lt;&gt;"",'Project Register'!K226=""),"Role 2 missing. ","")&amp;IF(AND('Project Register'!L226&lt;&gt;"",'Project Register'!M226=""),"Role 3 missing. ","")&amp;IF(OR(AND('Project Register'!H226&lt;&gt;"",'Project Register'!H226='Project Register'!J226),AND('Project Register'!H226&lt;&gt;"",'Project Register'!H226='Project Register'!L226),AND('Project Register'!J226&lt;&gt;"",'Project Register'!J226='Project Register'!L226)),"Same person listed twice. ","")&amp;IF(AND('Project Register'!H226&lt;&gt;"",COUNTIF(Resources!$A$2:$A$51,'Project Register'!H226)=0),"Resource 1 not in Resources sheet. ","")&amp;IF(AND('Project Register'!J226&lt;&gt;"",COUNTIF(Resources!$A$2:$A$51,'Project Register'!J226)=0),"Resource 2 not in Resources sheet. ","")&amp;IF(AND('Project Register'!L226&lt;&gt;"",COUNTIF(Resources!$A$2:$A$51,'Project Register'!L226)=0),"Resource 3 not in Resources sheet. ","")&amp;IF('Project Register'!O226="","Test Status missing. ","")&amp;IF(AND(ISNUMBER(E226),E226&gt;1),"This task alone needs over 100% per person. ","")&amp;IF(AND('Project Register'!Q226="Deployed in Live",'Project Register'!R226=""),"Release Date blank (import date will be used). ","")))</f>
        <v/>
      </c>
      <c r="G226" s="17" t="str">
        <f aca="false">IF('Project Register'!$A226="","",IF(F226="","OK","Check"))</f>
        <v/>
      </c>
    </row>
    <row r="227" customFormat="false" ht="15" hidden="false" customHeight="false" outlineLevel="0" collapsed="false">
      <c r="A227" s="15" t="str">
        <f aca="false">IF('Project Register'!$A227="","",ROW('Project Register'!A227))</f>
        <v/>
      </c>
      <c r="B227" s="15" t="str">
        <f aca="false">IF('Project Register'!$A227="","",'Project Register'!B227)</f>
        <v/>
      </c>
      <c r="C227" s="15" t="str">
        <f aca="false">IF('Project Register'!$A227="","",IF(OR('Project Register'!E227="",'Project Register'!F227=""),"",IF('Project Register'!F227&lt;'Project Register'!E227,0,NETWORKDAYS.INTL('Project Register'!E227,'Project Register'!F227,"0000110",Holidays_Leave!$A$3:$A$62))))</f>
        <v/>
      </c>
      <c r="D227" s="15" t="str">
        <f aca="false">IF('Project Register'!$A227="","",('Project Register'!H227&lt;&gt;"")+('Project Register'!J227&lt;&gt;"")+('Project Register'!L227&lt;&gt;""))</f>
        <v/>
      </c>
      <c r="E227" s="16" t="str">
        <f aca="false">IF(OR(C227="",D227="",'Project Register'!G227=""),"",IF(OR(C227=0,D227=0),"",'Project Register'!G227/(C227*D227)))</f>
        <v/>
      </c>
      <c r="F227" s="15" t="str">
        <f aca="false">IF('Project Register'!$A227="","",TRIM(IF(OR('Project Register'!E227="",'Project Register'!F227=""),"Missing date. ","")&amp;IF(AND('Project Register'!E227&lt;&gt;"",'Project Register'!F227&lt;&gt;"",'Project Register'!F227&lt;'Project Register'!E227),"End before start. ","")&amp;IF(NOT(ISNUMBER('Project Register'!G227)),"Effort missing. ","")&amp;IF(D227=0,"No resource. ","")&amp;IF(AND('Project Register'!H227&lt;&gt;"",'Project Register'!I227=""),"Role 1 missing. ","")&amp;IF(AND('Project Register'!J227&lt;&gt;"",'Project Register'!K227=""),"Role 2 missing. ","")&amp;IF(AND('Project Register'!L227&lt;&gt;"",'Project Register'!M227=""),"Role 3 missing. ","")&amp;IF(OR(AND('Project Register'!H227&lt;&gt;"",'Project Register'!H227='Project Register'!J227),AND('Project Register'!H227&lt;&gt;"",'Project Register'!H227='Project Register'!L227),AND('Project Register'!J227&lt;&gt;"",'Project Register'!J227='Project Register'!L227)),"Same person listed twice. ","")&amp;IF(AND('Project Register'!H227&lt;&gt;"",COUNTIF(Resources!$A$2:$A$51,'Project Register'!H227)=0),"Resource 1 not in Resources sheet. ","")&amp;IF(AND('Project Register'!J227&lt;&gt;"",COUNTIF(Resources!$A$2:$A$51,'Project Register'!J227)=0),"Resource 2 not in Resources sheet. ","")&amp;IF(AND('Project Register'!L227&lt;&gt;"",COUNTIF(Resources!$A$2:$A$51,'Project Register'!L227)=0),"Resource 3 not in Resources sheet. ","")&amp;IF('Project Register'!O227="","Test Status missing. ","")&amp;IF(AND(ISNUMBER(E227),E227&gt;1),"This task alone needs over 100% per person. ","")&amp;IF(AND('Project Register'!Q227="Deployed in Live",'Project Register'!R227=""),"Release Date blank (import date will be used). ","")))</f>
        <v/>
      </c>
      <c r="G227" s="17" t="str">
        <f aca="false">IF('Project Register'!$A227="","",IF(F227="","OK","Check"))</f>
        <v/>
      </c>
    </row>
    <row r="228" customFormat="false" ht="15" hidden="false" customHeight="false" outlineLevel="0" collapsed="false">
      <c r="A228" s="15" t="str">
        <f aca="false">IF('Project Register'!$A228="","",ROW('Project Register'!A228))</f>
        <v/>
      </c>
      <c r="B228" s="15" t="str">
        <f aca="false">IF('Project Register'!$A228="","",'Project Register'!B228)</f>
        <v/>
      </c>
      <c r="C228" s="15" t="str">
        <f aca="false">IF('Project Register'!$A228="","",IF(OR('Project Register'!E228="",'Project Register'!F228=""),"",IF('Project Register'!F228&lt;'Project Register'!E228,0,NETWORKDAYS.INTL('Project Register'!E228,'Project Register'!F228,"0000110",Holidays_Leave!$A$3:$A$62))))</f>
        <v/>
      </c>
      <c r="D228" s="15" t="str">
        <f aca="false">IF('Project Register'!$A228="","",('Project Register'!H228&lt;&gt;"")+('Project Register'!J228&lt;&gt;"")+('Project Register'!L228&lt;&gt;""))</f>
        <v/>
      </c>
      <c r="E228" s="16" t="str">
        <f aca="false">IF(OR(C228="",D228="",'Project Register'!G228=""),"",IF(OR(C228=0,D228=0),"",'Project Register'!G228/(C228*D228)))</f>
        <v/>
      </c>
      <c r="F228" s="15" t="str">
        <f aca="false">IF('Project Register'!$A228="","",TRIM(IF(OR('Project Register'!E228="",'Project Register'!F228=""),"Missing date. ","")&amp;IF(AND('Project Register'!E228&lt;&gt;"",'Project Register'!F228&lt;&gt;"",'Project Register'!F228&lt;'Project Register'!E228),"End before start. ","")&amp;IF(NOT(ISNUMBER('Project Register'!G228)),"Effort missing. ","")&amp;IF(D228=0,"No resource. ","")&amp;IF(AND('Project Register'!H228&lt;&gt;"",'Project Register'!I228=""),"Role 1 missing. ","")&amp;IF(AND('Project Register'!J228&lt;&gt;"",'Project Register'!K228=""),"Role 2 missing. ","")&amp;IF(AND('Project Register'!L228&lt;&gt;"",'Project Register'!M228=""),"Role 3 missing. ","")&amp;IF(OR(AND('Project Register'!H228&lt;&gt;"",'Project Register'!H228='Project Register'!J228),AND('Project Register'!H228&lt;&gt;"",'Project Register'!H228='Project Register'!L228),AND('Project Register'!J228&lt;&gt;"",'Project Register'!J228='Project Register'!L228)),"Same person listed twice. ","")&amp;IF(AND('Project Register'!H228&lt;&gt;"",COUNTIF(Resources!$A$2:$A$51,'Project Register'!H228)=0),"Resource 1 not in Resources sheet. ","")&amp;IF(AND('Project Register'!J228&lt;&gt;"",COUNTIF(Resources!$A$2:$A$51,'Project Register'!J228)=0),"Resource 2 not in Resources sheet. ","")&amp;IF(AND('Project Register'!L228&lt;&gt;"",COUNTIF(Resources!$A$2:$A$51,'Project Register'!L228)=0),"Resource 3 not in Resources sheet. ","")&amp;IF('Project Register'!O228="","Test Status missing. ","")&amp;IF(AND(ISNUMBER(E228),E228&gt;1),"This task alone needs over 100% per person. ","")&amp;IF(AND('Project Register'!Q228="Deployed in Live",'Project Register'!R228=""),"Release Date blank (import date will be used). ","")))</f>
        <v/>
      </c>
      <c r="G228" s="17" t="str">
        <f aca="false">IF('Project Register'!$A228="","",IF(F228="","OK","Check"))</f>
        <v/>
      </c>
    </row>
    <row r="229" customFormat="false" ht="15" hidden="false" customHeight="false" outlineLevel="0" collapsed="false">
      <c r="A229" s="15" t="str">
        <f aca="false">IF('Project Register'!$A229="","",ROW('Project Register'!A229))</f>
        <v/>
      </c>
      <c r="B229" s="15" t="str">
        <f aca="false">IF('Project Register'!$A229="","",'Project Register'!B229)</f>
        <v/>
      </c>
      <c r="C229" s="15" t="str">
        <f aca="false">IF('Project Register'!$A229="","",IF(OR('Project Register'!E229="",'Project Register'!F229=""),"",IF('Project Register'!F229&lt;'Project Register'!E229,0,NETWORKDAYS.INTL('Project Register'!E229,'Project Register'!F229,"0000110",Holidays_Leave!$A$3:$A$62))))</f>
        <v/>
      </c>
      <c r="D229" s="15" t="str">
        <f aca="false">IF('Project Register'!$A229="","",('Project Register'!H229&lt;&gt;"")+('Project Register'!J229&lt;&gt;"")+('Project Register'!L229&lt;&gt;""))</f>
        <v/>
      </c>
      <c r="E229" s="16" t="str">
        <f aca="false">IF(OR(C229="",D229="",'Project Register'!G229=""),"",IF(OR(C229=0,D229=0),"",'Project Register'!G229/(C229*D229)))</f>
        <v/>
      </c>
      <c r="F229" s="15" t="str">
        <f aca="false">IF('Project Register'!$A229="","",TRIM(IF(OR('Project Register'!E229="",'Project Register'!F229=""),"Missing date. ","")&amp;IF(AND('Project Register'!E229&lt;&gt;"",'Project Register'!F229&lt;&gt;"",'Project Register'!F229&lt;'Project Register'!E229),"End before start. ","")&amp;IF(NOT(ISNUMBER('Project Register'!G229)),"Effort missing. ","")&amp;IF(D229=0,"No resource. ","")&amp;IF(AND('Project Register'!H229&lt;&gt;"",'Project Register'!I229=""),"Role 1 missing. ","")&amp;IF(AND('Project Register'!J229&lt;&gt;"",'Project Register'!K229=""),"Role 2 missing. ","")&amp;IF(AND('Project Register'!L229&lt;&gt;"",'Project Register'!M229=""),"Role 3 missing. ","")&amp;IF(OR(AND('Project Register'!H229&lt;&gt;"",'Project Register'!H229='Project Register'!J229),AND('Project Register'!H229&lt;&gt;"",'Project Register'!H229='Project Register'!L229),AND('Project Register'!J229&lt;&gt;"",'Project Register'!J229='Project Register'!L229)),"Same person listed twice. ","")&amp;IF(AND('Project Register'!H229&lt;&gt;"",COUNTIF(Resources!$A$2:$A$51,'Project Register'!H229)=0),"Resource 1 not in Resources sheet. ","")&amp;IF(AND('Project Register'!J229&lt;&gt;"",COUNTIF(Resources!$A$2:$A$51,'Project Register'!J229)=0),"Resource 2 not in Resources sheet. ","")&amp;IF(AND('Project Register'!L229&lt;&gt;"",COUNTIF(Resources!$A$2:$A$51,'Project Register'!L229)=0),"Resource 3 not in Resources sheet. ","")&amp;IF('Project Register'!O229="","Test Status missing. ","")&amp;IF(AND(ISNUMBER(E229),E229&gt;1),"This task alone needs over 100% per person. ","")&amp;IF(AND('Project Register'!Q229="Deployed in Live",'Project Register'!R229=""),"Release Date blank (import date will be used). ","")))</f>
        <v/>
      </c>
      <c r="G229" s="17" t="str">
        <f aca="false">IF('Project Register'!$A229="","",IF(F229="","OK","Check"))</f>
        <v/>
      </c>
    </row>
    <row r="230" customFormat="false" ht="15" hidden="false" customHeight="false" outlineLevel="0" collapsed="false">
      <c r="A230" s="15" t="str">
        <f aca="false">IF('Project Register'!$A230="","",ROW('Project Register'!A230))</f>
        <v/>
      </c>
      <c r="B230" s="15" t="str">
        <f aca="false">IF('Project Register'!$A230="","",'Project Register'!B230)</f>
        <v/>
      </c>
      <c r="C230" s="15" t="str">
        <f aca="false">IF('Project Register'!$A230="","",IF(OR('Project Register'!E230="",'Project Register'!F230=""),"",IF('Project Register'!F230&lt;'Project Register'!E230,0,NETWORKDAYS.INTL('Project Register'!E230,'Project Register'!F230,"0000110",Holidays_Leave!$A$3:$A$62))))</f>
        <v/>
      </c>
      <c r="D230" s="15" t="str">
        <f aca="false">IF('Project Register'!$A230="","",('Project Register'!H230&lt;&gt;"")+('Project Register'!J230&lt;&gt;"")+('Project Register'!L230&lt;&gt;""))</f>
        <v/>
      </c>
      <c r="E230" s="16" t="str">
        <f aca="false">IF(OR(C230="",D230="",'Project Register'!G230=""),"",IF(OR(C230=0,D230=0),"",'Project Register'!G230/(C230*D230)))</f>
        <v/>
      </c>
      <c r="F230" s="15" t="str">
        <f aca="false">IF('Project Register'!$A230="","",TRIM(IF(OR('Project Register'!E230="",'Project Register'!F230=""),"Missing date. ","")&amp;IF(AND('Project Register'!E230&lt;&gt;"",'Project Register'!F230&lt;&gt;"",'Project Register'!F230&lt;'Project Register'!E230),"End before start. ","")&amp;IF(NOT(ISNUMBER('Project Register'!G230)),"Effort missing. ","")&amp;IF(D230=0,"No resource. ","")&amp;IF(AND('Project Register'!H230&lt;&gt;"",'Project Register'!I230=""),"Role 1 missing. ","")&amp;IF(AND('Project Register'!J230&lt;&gt;"",'Project Register'!K230=""),"Role 2 missing. ","")&amp;IF(AND('Project Register'!L230&lt;&gt;"",'Project Register'!M230=""),"Role 3 missing. ","")&amp;IF(OR(AND('Project Register'!H230&lt;&gt;"",'Project Register'!H230='Project Register'!J230),AND('Project Register'!H230&lt;&gt;"",'Project Register'!H230='Project Register'!L230),AND('Project Register'!J230&lt;&gt;"",'Project Register'!J230='Project Register'!L230)),"Same person listed twice. ","")&amp;IF(AND('Project Register'!H230&lt;&gt;"",COUNTIF(Resources!$A$2:$A$51,'Project Register'!H230)=0),"Resource 1 not in Resources sheet. ","")&amp;IF(AND('Project Register'!J230&lt;&gt;"",COUNTIF(Resources!$A$2:$A$51,'Project Register'!J230)=0),"Resource 2 not in Resources sheet. ","")&amp;IF(AND('Project Register'!L230&lt;&gt;"",COUNTIF(Resources!$A$2:$A$51,'Project Register'!L230)=0),"Resource 3 not in Resources sheet. ","")&amp;IF('Project Register'!O230="","Test Status missing. ","")&amp;IF(AND(ISNUMBER(E230),E230&gt;1),"This task alone needs over 100% per person. ","")&amp;IF(AND('Project Register'!Q230="Deployed in Live",'Project Register'!R230=""),"Release Date blank (import date will be used). ","")))</f>
        <v/>
      </c>
      <c r="G230" s="17" t="str">
        <f aca="false">IF('Project Register'!$A230="","",IF(F230="","OK","Check"))</f>
        <v/>
      </c>
    </row>
    <row r="231" customFormat="false" ht="15" hidden="false" customHeight="false" outlineLevel="0" collapsed="false">
      <c r="A231" s="15" t="str">
        <f aca="false">IF('Project Register'!$A231="","",ROW('Project Register'!A231))</f>
        <v/>
      </c>
      <c r="B231" s="15" t="str">
        <f aca="false">IF('Project Register'!$A231="","",'Project Register'!B231)</f>
        <v/>
      </c>
      <c r="C231" s="15" t="str">
        <f aca="false">IF('Project Register'!$A231="","",IF(OR('Project Register'!E231="",'Project Register'!F231=""),"",IF('Project Register'!F231&lt;'Project Register'!E231,0,NETWORKDAYS.INTL('Project Register'!E231,'Project Register'!F231,"0000110",Holidays_Leave!$A$3:$A$62))))</f>
        <v/>
      </c>
      <c r="D231" s="15" t="str">
        <f aca="false">IF('Project Register'!$A231="","",('Project Register'!H231&lt;&gt;"")+('Project Register'!J231&lt;&gt;"")+('Project Register'!L231&lt;&gt;""))</f>
        <v/>
      </c>
      <c r="E231" s="16" t="str">
        <f aca="false">IF(OR(C231="",D231="",'Project Register'!G231=""),"",IF(OR(C231=0,D231=0),"",'Project Register'!G231/(C231*D231)))</f>
        <v/>
      </c>
      <c r="F231" s="15" t="str">
        <f aca="false">IF('Project Register'!$A231="","",TRIM(IF(OR('Project Register'!E231="",'Project Register'!F231=""),"Missing date. ","")&amp;IF(AND('Project Register'!E231&lt;&gt;"",'Project Register'!F231&lt;&gt;"",'Project Register'!F231&lt;'Project Register'!E231),"End before start. ","")&amp;IF(NOT(ISNUMBER('Project Register'!G231)),"Effort missing. ","")&amp;IF(D231=0,"No resource. ","")&amp;IF(AND('Project Register'!H231&lt;&gt;"",'Project Register'!I231=""),"Role 1 missing. ","")&amp;IF(AND('Project Register'!J231&lt;&gt;"",'Project Register'!K231=""),"Role 2 missing. ","")&amp;IF(AND('Project Register'!L231&lt;&gt;"",'Project Register'!M231=""),"Role 3 missing. ","")&amp;IF(OR(AND('Project Register'!H231&lt;&gt;"",'Project Register'!H231='Project Register'!J231),AND('Project Register'!H231&lt;&gt;"",'Project Register'!H231='Project Register'!L231),AND('Project Register'!J231&lt;&gt;"",'Project Register'!J231='Project Register'!L231)),"Same person listed twice. ","")&amp;IF(AND('Project Register'!H231&lt;&gt;"",COUNTIF(Resources!$A$2:$A$51,'Project Register'!H231)=0),"Resource 1 not in Resources sheet. ","")&amp;IF(AND('Project Register'!J231&lt;&gt;"",COUNTIF(Resources!$A$2:$A$51,'Project Register'!J231)=0),"Resource 2 not in Resources sheet. ","")&amp;IF(AND('Project Register'!L231&lt;&gt;"",COUNTIF(Resources!$A$2:$A$51,'Project Register'!L231)=0),"Resource 3 not in Resources sheet. ","")&amp;IF('Project Register'!O231="","Test Status missing. ","")&amp;IF(AND(ISNUMBER(E231),E231&gt;1),"This task alone needs over 100% per person. ","")&amp;IF(AND('Project Register'!Q231="Deployed in Live",'Project Register'!R231=""),"Release Date blank (import date will be used). ","")))</f>
        <v/>
      </c>
      <c r="G231" s="17" t="str">
        <f aca="false">IF('Project Register'!$A231="","",IF(F231="","OK","Check"))</f>
        <v/>
      </c>
    </row>
    <row r="232" customFormat="false" ht="15" hidden="false" customHeight="false" outlineLevel="0" collapsed="false">
      <c r="A232" s="15" t="str">
        <f aca="false">IF('Project Register'!$A232="","",ROW('Project Register'!A232))</f>
        <v/>
      </c>
      <c r="B232" s="15" t="str">
        <f aca="false">IF('Project Register'!$A232="","",'Project Register'!B232)</f>
        <v/>
      </c>
      <c r="C232" s="15" t="str">
        <f aca="false">IF('Project Register'!$A232="","",IF(OR('Project Register'!E232="",'Project Register'!F232=""),"",IF('Project Register'!F232&lt;'Project Register'!E232,0,NETWORKDAYS.INTL('Project Register'!E232,'Project Register'!F232,"0000110",Holidays_Leave!$A$3:$A$62))))</f>
        <v/>
      </c>
      <c r="D232" s="15" t="str">
        <f aca="false">IF('Project Register'!$A232="","",('Project Register'!H232&lt;&gt;"")+('Project Register'!J232&lt;&gt;"")+('Project Register'!L232&lt;&gt;""))</f>
        <v/>
      </c>
      <c r="E232" s="16" t="str">
        <f aca="false">IF(OR(C232="",D232="",'Project Register'!G232=""),"",IF(OR(C232=0,D232=0),"",'Project Register'!G232/(C232*D232)))</f>
        <v/>
      </c>
      <c r="F232" s="15" t="str">
        <f aca="false">IF('Project Register'!$A232="","",TRIM(IF(OR('Project Register'!E232="",'Project Register'!F232=""),"Missing date. ","")&amp;IF(AND('Project Register'!E232&lt;&gt;"",'Project Register'!F232&lt;&gt;"",'Project Register'!F232&lt;'Project Register'!E232),"End before start. ","")&amp;IF(NOT(ISNUMBER('Project Register'!G232)),"Effort missing. ","")&amp;IF(D232=0,"No resource. ","")&amp;IF(AND('Project Register'!H232&lt;&gt;"",'Project Register'!I232=""),"Role 1 missing. ","")&amp;IF(AND('Project Register'!J232&lt;&gt;"",'Project Register'!K232=""),"Role 2 missing. ","")&amp;IF(AND('Project Register'!L232&lt;&gt;"",'Project Register'!M232=""),"Role 3 missing. ","")&amp;IF(OR(AND('Project Register'!H232&lt;&gt;"",'Project Register'!H232='Project Register'!J232),AND('Project Register'!H232&lt;&gt;"",'Project Register'!H232='Project Register'!L232),AND('Project Register'!J232&lt;&gt;"",'Project Register'!J232='Project Register'!L232)),"Same person listed twice. ","")&amp;IF(AND('Project Register'!H232&lt;&gt;"",COUNTIF(Resources!$A$2:$A$51,'Project Register'!H232)=0),"Resource 1 not in Resources sheet. ","")&amp;IF(AND('Project Register'!J232&lt;&gt;"",COUNTIF(Resources!$A$2:$A$51,'Project Register'!J232)=0),"Resource 2 not in Resources sheet. ","")&amp;IF(AND('Project Register'!L232&lt;&gt;"",COUNTIF(Resources!$A$2:$A$51,'Project Register'!L232)=0),"Resource 3 not in Resources sheet. ","")&amp;IF('Project Register'!O232="","Test Status missing. ","")&amp;IF(AND(ISNUMBER(E232),E232&gt;1),"This task alone needs over 100% per person. ","")&amp;IF(AND('Project Register'!Q232="Deployed in Live",'Project Register'!R232=""),"Release Date blank (import date will be used). ","")))</f>
        <v/>
      </c>
      <c r="G232" s="17" t="str">
        <f aca="false">IF('Project Register'!$A232="","",IF(F232="","OK","Check"))</f>
        <v/>
      </c>
    </row>
    <row r="233" customFormat="false" ht="15" hidden="false" customHeight="false" outlineLevel="0" collapsed="false">
      <c r="A233" s="15" t="str">
        <f aca="false">IF('Project Register'!$A233="","",ROW('Project Register'!A233))</f>
        <v/>
      </c>
      <c r="B233" s="15" t="str">
        <f aca="false">IF('Project Register'!$A233="","",'Project Register'!B233)</f>
        <v/>
      </c>
      <c r="C233" s="15" t="str">
        <f aca="false">IF('Project Register'!$A233="","",IF(OR('Project Register'!E233="",'Project Register'!F233=""),"",IF('Project Register'!F233&lt;'Project Register'!E233,0,NETWORKDAYS.INTL('Project Register'!E233,'Project Register'!F233,"0000110",Holidays_Leave!$A$3:$A$62))))</f>
        <v/>
      </c>
      <c r="D233" s="15" t="str">
        <f aca="false">IF('Project Register'!$A233="","",('Project Register'!H233&lt;&gt;"")+('Project Register'!J233&lt;&gt;"")+('Project Register'!L233&lt;&gt;""))</f>
        <v/>
      </c>
      <c r="E233" s="16" t="str">
        <f aca="false">IF(OR(C233="",D233="",'Project Register'!G233=""),"",IF(OR(C233=0,D233=0),"",'Project Register'!G233/(C233*D233)))</f>
        <v/>
      </c>
      <c r="F233" s="15" t="str">
        <f aca="false">IF('Project Register'!$A233="","",TRIM(IF(OR('Project Register'!E233="",'Project Register'!F233=""),"Missing date. ","")&amp;IF(AND('Project Register'!E233&lt;&gt;"",'Project Register'!F233&lt;&gt;"",'Project Register'!F233&lt;'Project Register'!E233),"End before start. ","")&amp;IF(NOT(ISNUMBER('Project Register'!G233)),"Effort missing. ","")&amp;IF(D233=0,"No resource. ","")&amp;IF(AND('Project Register'!H233&lt;&gt;"",'Project Register'!I233=""),"Role 1 missing. ","")&amp;IF(AND('Project Register'!J233&lt;&gt;"",'Project Register'!K233=""),"Role 2 missing. ","")&amp;IF(AND('Project Register'!L233&lt;&gt;"",'Project Register'!M233=""),"Role 3 missing. ","")&amp;IF(OR(AND('Project Register'!H233&lt;&gt;"",'Project Register'!H233='Project Register'!J233),AND('Project Register'!H233&lt;&gt;"",'Project Register'!H233='Project Register'!L233),AND('Project Register'!J233&lt;&gt;"",'Project Register'!J233='Project Register'!L233)),"Same person listed twice. ","")&amp;IF(AND('Project Register'!H233&lt;&gt;"",COUNTIF(Resources!$A$2:$A$51,'Project Register'!H233)=0),"Resource 1 not in Resources sheet. ","")&amp;IF(AND('Project Register'!J233&lt;&gt;"",COUNTIF(Resources!$A$2:$A$51,'Project Register'!J233)=0),"Resource 2 not in Resources sheet. ","")&amp;IF(AND('Project Register'!L233&lt;&gt;"",COUNTIF(Resources!$A$2:$A$51,'Project Register'!L233)=0),"Resource 3 not in Resources sheet. ","")&amp;IF('Project Register'!O233="","Test Status missing. ","")&amp;IF(AND(ISNUMBER(E233),E233&gt;1),"This task alone needs over 100% per person. ","")&amp;IF(AND('Project Register'!Q233="Deployed in Live",'Project Register'!R233=""),"Release Date blank (import date will be used). ","")))</f>
        <v/>
      </c>
      <c r="G233" s="17" t="str">
        <f aca="false">IF('Project Register'!$A233="","",IF(F233="","OK","Check"))</f>
        <v/>
      </c>
    </row>
    <row r="234" customFormat="false" ht="15" hidden="false" customHeight="false" outlineLevel="0" collapsed="false">
      <c r="A234" s="15" t="str">
        <f aca="false">IF('Project Register'!$A234="","",ROW('Project Register'!A234))</f>
        <v/>
      </c>
      <c r="B234" s="15" t="str">
        <f aca="false">IF('Project Register'!$A234="","",'Project Register'!B234)</f>
        <v/>
      </c>
      <c r="C234" s="15" t="str">
        <f aca="false">IF('Project Register'!$A234="","",IF(OR('Project Register'!E234="",'Project Register'!F234=""),"",IF('Project Register'!F234&lt;'Project Register'!E234,0,NETWORKDAYS.INTL('Project Register'!E234,'Project Register'!F234,"0000110",Holidays_Leave!$A$3:$A$62))))</f>
        <v/>
      </c>
      <c r="D234" s="15" t="str">
        <f aca="false">IF('Project Register'!$A234="","",('Project Register'!H234&lt;&gt;"")+('Project Register'!J234&lt;&gt;"")+('Project Register'!L234&lt;&gt;""))</f>
        <v/>
      </c>
      <c r="E234" s="16" t="str">
        <f aca="false">IF(OR(C234="",D234="",'Project Register'!G234=""),"",IF(OR(C234=0,D234=0),"",'Project Register'!G234/(C234*D234)))</f>
        <v/>
      </c>
      <c r="F234" s="15" t="str">
        <f aca="false">IF('Project Register'!$A234="","",TRIM(IF(OR('Project Register'!E234="",'Project Register'!F234=""),"Missing date. ","")&amp;IF(AND('Project Register'!E234&lt;&gt;"",'Project Register'!F234&lt;&gt;"",'Project Register'!F234&lt;'Project Register'!E234),"End before start. ","")&amp;IF(NOT(ISNUMBER('Project Register'!G234)),"Effort missing. ","")&amp;IF(D234=0,"No resource. ","")&amp;IF(AND('Project Register'!H234&lt;&gt;"",'Project Register'!I234=""),"Role 1 missing. ","")&amp;IF(AND('Project Register'!J234&lt;&gt;"",'Project Register'!K234=""),"Role 2 missing. ","")&amp;IF(AND('Project Register'!L234&lt;&gt;"",'Project Register'!M234=""),"Role 3 missing. ","")&amp;IF(OR(AND('Project Register'!H234&lt;&gt;"",'Project Register'!H234='Project Register'!J234),AND('Project Register'!H234&lt;&gt;"",'Project Register'!H234='Project Register'!L234),AND('Project Register'!J234&lt;&gt;"",'Project Register'!J234='Project Register'!L234)),"Same person listed twice. ","")&amp;IF(AND('Project Register'!H234&lt;&gt;"",COUNTIF(Resources!$A$2:$A$51,'Project Register'!H234)=0),"Resource 1 not in Resources sheet. ","")&amp;IF(AND('Project Register'!J234&lt;&gt;"",COUNTIF(Resources!$A$2:$A$51,'Project Register'!J234)=0),"Resource 2 not in Resources sheet. ","")&amp;IF(AND('Project Register'!L234&lt;&gt;"",COUNTIF(Resources!$A$2:$A$51,'Project Register'!L234)=0),"Resource 3 not in Resources sheet. ","")&amp;IF('Project Register'!O234="","Test Status missing. ","")&amp;IF(AND(ISNUMBER(E234),E234&gt;1),"This task alone needs over 100% per person. ","")&amp;IF(AND('Project Register'!Q234="Deployed in Live",'Project Register'!R234=""),"Release Date blank (import date will be used). ","")))</f>
        <v/>
      </c>
      <c r="G234" s="17" t="str">
        <f aca="false">IF('Project Register'!$A234="","",IF(F234="","OK","Check"))</f>
        <v/>
      </c>
    </row>
    <row r="235" customFormat="false" ht="15" hidden="false" customHeight="false" outlineLevel="0" collapsed="false">
      <c r="A235" s="15" t="str">
        <f aca="false">IF('Project Register'!$A235="","",ROW('Project Register'!A235))</f>
        <v/>
      </c>
      <c r="B235" s="15" t="str">
        <f aca="false">IF('Project Register'!$A235="","",'Project Register'!B235)</f>
        <v/>
      </c>
      <c r="C235" s="15" t="str">
        <f aca="false">IF('Project Register'!$A235="","",IF(OR('Project Register'!E235="",'Project Register'!F235=""),"",IF('Project Register'!F235&lt;'Project Register'!E235,0,NETWORKDAYS.INTL('Project Register'!E235,'Project Register'!F235,"0000110",Holidays_Leave!$A$3:$A$62))))</f>
        <v/>
      </c>
      <c r="D235" s="15" t="str">
        <f aca="false">IF('Project Register'!$A235="","",('Project Register'!H235&lt;&gt;"")+('Project Register'!J235&lt;&gt;"")+('Project Register'!L235&lt;&gt;""))</f>
        <v/>
      </c>
      <c r="E235" s="16" t="str">
        <f aca="false">IF(OR(C235="",D235="",'Project Register'!G235=""),"",IF(OR(C235=0,D235=0),"",'Project Register'!G235/(C235*D235)))</f>
        <v/>
      </c>
      <c r="F235" s="15" t="str">
        <f aca="false">IF('Project Register'!$A235="","",TRIM(IF(OR('Project Register'!E235="",'Project Register'!F235=""),"Missing date. ","")&amp;IF(AND('Project Register'!E235&lt;&gt;"",'Project Register'!F235&lt;&gt;"",'Project Register'!F235&lt;'Project Register'!E235),"End before start. ","")&amp;IF(NOT(ISNUMBER('Project Register'!G235)),"Effort missing. ","")&amp;IF(D235=0,"No resource. ","")&amp;IF(AND('Project Register'!H235&lt;&gt;"",'Project Register'!I235=""),"Role 1 missing. ","")&amp;IF(AND('Project Register'!J235&lt;&gt;"",'Project Register'!K235=""),"Role 2 missing. ","")&amp;IF(AND('Project Register'!L235&lt;&gt;"",'Project Register'!M235=""),"Role 3 missing. ","")&amp;IF(OR(AND('Project Register'!H235&lt;&gt;"",'Project Register'!H235='Project Register'!J235),AND('Project Register'!H235&lt;&gt;"",'Project Register'!H235='Project Register'!L235),AND('Project Register'!J235&lt;&gt;"",'Project Register'!J235='Project Register'!L235)),"Same person listed twice. ","")&amp;IF(AND('Project Register'!H235&lt;&gt;"",COUNTIF(Resources!$A$2:$A$51,'Project Register'!H235)=0),"Resource 1 not in Resources sheet. ","")&amp;IF(AND('Project Register'!J235&lt;&gt;"",COUNTIF(Resources!$A$2:$A$51,'Project Register'!J235)=0),"Resource 2 not in Resources sheet. ","")&amp;IF(AND('Project Register'!L235&lt;&gt;"",COUNTIF(Resources!$A$2:$A$51,'Project Register'!L235)=0),"Resource 3 not in Resources sheet. ","")&amp;IF('Project Register'!O235="","Test Status missing. ","")&amp;IF(AND(ISNUMBER(E235),E235&gt;1),"This task alone needs over 100% per person. ","")&amp;IF(AND('Project Register'!Q235="Deployed in Live",'Project Register'!R235=""),"Release Date blank (import date will be used). ","")))</f>
        <v/>
      </c>
      <c r="G235" s="17" t="str">
        <f aca="false">IF('Project Register'!$A235="","",IF(F235="","OK","Check"))</f>
        <v/>
      </c>
    </row>
    <row r="236" customFormat="false" ht="15" hidden="false" customHeight="false" outlineLevel="0" collapsed="false">
      <c r="A236" s="15" t="str">
        <f aca="false">IF('Project Register'!$A236="","",ROW('Project Register'!A236))</f>
        <v/>
      </c>
      <c r="B236" s="15" t="str">
        <f aca="false">IF('Project Register'!$A236="","",'Project Register'!B236)</f>
        <v/>
      </c>
      <c r="C236" s="15" t="str">
        <f aca="false">IF('Project Register'!$A236="","",IF(OR('Project Register'!E236="",'Project Register'!F236=""),"",IF('Project Register'!F236&lt;'Project Register'!E236,0,NETWORKDAYS.INTL('Project Register'!E236,'Project Register'!F236,"0000110",Holidays_Leave!$A$3:$A$62))))</f>
        <v/>
      </c>
      <c r="D236" s="15" t="str">
        <f aca="false">IF('Project Register'!$A236="","",('Project Register'!H236&lt;&gt;"")+('Project Register'!J236&lt;&gt;"")+('Project Register'!L236&lt;&gt;""))</f>
        <v/>
      </c>
      <c r="E236" s="16" t="str">
        <f aca="false">IF(OR(C236="",D236="",'Project Register'!G236=""),"",IF(OR(C236=0,D236=0),"",'Project Register'!G236/(C236*D236)))</f>
        <v/>
      </c>
      <c r="F236" s="15" t="str">
        <f aca="false">IF('Project Register'!$A236="","",TRIM(IF(OR('Project Register'!E236="",'Project Register'!F236=""),"Missing date. ","")&amp;IF(AND('Project Register'!E236&lt;&gt;"",'Project Register'!F236&lt;&gt;"",'Project Register'!F236&lt;'Project Register'!E236),"End before start. ","")&amp;IF(NOT(ISNUMBER('Project Register'!G236)),"Effort missing. ","")&amp;IF(D236=0,"No resource. ","")&amp;IF(AND('Project Register'!H236&lt;&gt;"",'Project Register'!I236=""),"Role 1 missing. ","")&amp;IF(AND('Project Register'!J236&lt;&gt;"",'Project Register'!K236=""),"Role 2 missing. ","")&amp;IF(AND('Project Register'!L236&lt;&gt;"",'Project Register'!M236=""),"Role 3 missing. ","")&amp;IF(OR(AND('Project Register'!H236&lt;&gt;"",'Project Register'!H236='Project Register'!J236),AND('Project Register'!H236&lt;&gt;"",'Project Register'!H236='Project Register'!L236),AND('Project Register'!J236&lt;&gt;"",'Project Register'!J236='Project Register'!L236)),"Same person listed twice. ","")&amp;IF(AND('Project Register'!H236&lt;&gt;"",COUNTIF(Resources!$A$2:$A$51,'Project Register'!H236)=0),"Resource 1 not in Resources sheet. ","")&amp;IF(AND('Project Register'!J236&lt;&gt;"",COUNTIF(Resources!$A$2:$A$51,'Project Register'!J236)=0),"Resource 2 not in Resources sheet. ","")&amp;IF(AND('Project Register'!L236&lt;&gt;"",COUNTIF(Resources!$A$2:$A$51,'Project Register'!L236)=0),"Resource 3 not in Resources sheet. ","")&amp;IF('Project Register'!O236="","Test Status missing. ","")&amp;IF(AND(ISNUMBER(E236),E236&gt;1),"This task alone needs over 100% per person. ","")&amp;IF(AND('Project Register'!Q236="Deployed in Live",'Project Register'!R236=""),"Release Date blank (import date will be used). ","")))</f>
        <v/>
      </c>
      <c r="G236" s="17" t="str">
        <f aca="false">IF('Project Register'!$A236="","",IF(F236="","OK","Check"))</f>
        <v/>
      </c>
    </row>
    <row r="237" customFormat="false" ht="15" hidden="false" customHeight="false" outlineLevel="0" collapsed="false">
      <c r="A237" s="15" t="str">
        <f aca="false">IF('Project Register'!$A237="","",ROW('Project Register'!A237))</f>
        <v/>
      </c>
      <c r="B237" s="15" t="str">
        <f aca="false">IF('Project Register'!$A237="","",'Project Register'!B237)</f>
        <v/>
      </c>
      <c r="C237" s="15" t="str">
        <f aca="false">IF('Project Register'!$A237="","",IF(OR('Project Register'!E237="",'Project Register'!F237=""),"",IF('Project Register'!F237&lt;'Project Register'!E237,0,NETWORKDAYS.INTL('Project Register'!E237,'Project Register'!F237,"0000110",Holidays_Leave!$A$3:$A$62))))</f>
        <v/>
      </c>
      <c r="D237" s="15" t="str">
        <f aca="false">IF('Project Register'!$A237="","",('Project Register'!H237&lt;&gt;"")+('Project Register'!J237&lt;&gt;"")+('Project Register'!L237&lt;&gt;""))</f>
        <v/>
      </c>
      <c r="E237" s="16" t="str">
        <f aca="false">IF(OR(C237="",D237="",'Project Register'!G237=""),"",IF(OR(C237=0,D237=0),"",'Project Register'!G237/(C237*D237)))</f>
        <v/>
      </c>
      <c r="F237" s="15" t="str">
        <f aca="false">IF('Project Register'!$A237="","",TRIM(IF(OR('Project Register'!E237="",'Project Register'!F237=""),"Missing date. ","")&amp;IF(AND('Project Register'!E237&lt;&gt;"",'Project Register'!F237&lt;&gt;"",'Project Register'!F237&lt;'Project Register'!E237),"End before start. ","")&amp;IF(NOT(ISNUMBER('Project Register'!G237)),"Effort missing. ","")&amp;IF(D237=0,"No resource. ","")&amp;IF(AND('Project Register'!H237&lt;&gt;"",'Project Register'!I237=""),"Role 1 missing. ","")&amp;IF(AND('Project Register'!J237&lt;&gt;"",'Project Register'!K237=""),"Role 2 missing. ","")&amp;IF(AND('Project Register'!L237&lt;&gt;"",'Project Register'!M237=""),"Role 3 missing. ","")&amp;IF(OR(AND('Project Register'!H237&lt;&gt;"",'Project Register'!H237='Project Register'!J237),AND('Project Register'!H237&lt;&gt;"",'Project Register'!H237='Project Register'!L237),AND('Project Register'!J237&lt;&gt;"",'Project Register'!J237='Project Register'!L237)),"Same person listed twice. ","")&amp;IF(AND('Project Register'!H237&lt;&gt;"",COUNTIF(Resources!$A$2:$A$51,'Project Register'!H237)=0),"Resource 1 not in Resources sheet. ","")&amp;IF(AND('Project Register'!J237&lt;&gt;"",COUNTIF(Resources!$A$2:$A$51,'Project Register'!J237)=0),"Resource 2 not in Resources sheet. ","")&amp;IF(AND('Project Register'!L237&lt;&gt;"",COUNTIF(Resources!$A$2:$A$51,'Project Register'!L237)=0),"Resource 3 not in Resources sheet. ","")&amp;IF('Project Register'!O237="","Test Status missing. ","")&amp;IF(AND(ISNUMBER(E237),E237&gt;1),"This task alone needs over 100% per person. ","")&amp;IF(AND('Project Register'!Q237="Deployed in Live",'Project Register'!R237=""),"Release Date blank (import date will be used). ","")))</f>
        <v/>
      </c>
      <c r="G237" s="17" t="str">
        <f aca="false">IF('Project Register'!$A237="","",IF(F237="","OK","Check"))</f>
        <v/>
      </c>
    </row>
    <row r="238" customFormat="false" ht="15" hidden="false" customHeight="false" outlineLevel="0" collapsed="false">
      <c r="A238" s="15" t="str">
        <f aca="false">IF('Project Register'!$A238="","",ROW('Project Register'!A238))</f>
        <v/>
      </c>
      <c r="B238" s="15" t="str">
        <f aca="false">IF('Project Register'!$A238="","",'Project Register'!B238)</f>
        <v/>
      </c>
      <c r="C238" s="15" t="str">
        <f aca="false">IF('Project Register'!$A238="","",IF(OR('Project Register'!E238="",'Project Register'!F238=""),"",IF('Project Register'!F238&lt;'Project Register'!E238,0,NETWORKDAYS.INTL('Project Register'!E238,'Project Register'!F238,"0000110",Holidays_Leave!$A$3:$A$62))))</f>
        <v/>
      </c>
      <c r="D238" s="15" t="str">
        <f aca="false">IF('Project Register'!$A238="","",('Project Register'!H238&lt;&gt;"")+('Project Register'!J238&lt;&gt;"")+('Project Register'!L238&lt;&gt;""))</f>
        <v/>
      </c>
      <c r="E238" s="16" t="str">
        <f aca="false">IF(OR(C238="",D238="",'Project Register'!G238=""),"",IF(OR(C238=0,D238=0),"",'Project Register'!G238/(C238*D238)))</f>
        <v/>
      </c>
      <c r="F238" s="15" t="str">
        <f aca="false">IF('Project Register'!$A238="","",TRIM(IF(OR('Project Register'!E238="",'Project Register'!F238=""),"Missing date. ","")&amp;IF(AND('Project Register'!E238&lt;&gt;"",'Project Register'!F238&lt;&gt;"",'Project Register'!F238&lt;'Project Register'!E238),"End before start. ","")&amp;IF(NOT(ISNUMBER('Project Register'!G238)),"Effort missing. ","")&amp;IF(D238=0,"No resource. ","")&amp;IF(AND('Project Register'!H238&lt;&gt;"",'Project Register'!I238=""),"Role 1 missing. ","")&amp;IF(AND('Project Register'!J238&lt;&gt;"",'Project Register'!K238=""),"Role 2 missing. ","")&amp;IF(AND('Project Register'!L238&lt;&gt;"",'Project Register'!M238=""),"Role 3 missing. ","")&amp;IF(OR(AND('Project Register'!H238&lt;&gt;"",'Project Register'!H238='Project Register'!J238),AND('Project Register'!H238&lt;&gt;"",'Project Register'!H238='Project Register'!L238),AND('Project Register'!J238&lt;&gt;"",'Project Register'!J238='Project Register'!L238)),"Same person listed twice. ","")&amp;IF(AND('Project Register'!H238&lt;&gt;"",COUNTIF(Resources!$A$2:$A$51,'Project Register'!H238)=0),"Resource 1 not in Resources sheet. ","")&amp;IF(AND('Project Register'!J238&lt;&gt;"",COUNTIF(Resources!$A$2:$A$51,'Project Register'!J238)=0),"Resource 2 not in Resources sheet. ","")&amp;IF(AND('Project Register'!L238&lt;&gt;"",COUNTIF(Resources!$A$2:$A$51,'Project Register'!L238)=0),"Resource 3 not in Resources sheet. ","")&amp;IF('Project Register'!O238="","Test Status missing. ","")&amp;IF(AND(ISNUMBER(E238),E238&gt;1),"This task alone needs over 100% per person. ","")&amp;IF(AND('Project Register'!Q238="Deployed in Live",'Project Register'!R238=""),"Release Date blank (import date will be used). ","")))</f>
        <v/>
      </c>
      <c r="G238" s="17" t="str">
        <f aca="false">IF('Project Register'!$A238="","",IF(F238="","OK","Check"))</f>
        <v/>
      </c>
    </row>
    <row r="239" customFormat="false" ht="15" hidden="false" customHeight="false" outlineLevel="0" collapsed="false">
      <c r="A239" s="15" t="str">
        <f aca="false">IF('Project Register'!$A239="","",ROW('Project Register'!A239))</f>
        <v/>
      </c>
      <c r="B239" s="15" t="str">
        <f aca="false">IF('Project Register'!$A239="","",'Project Register'!B239)</f>
        <v/>
      </c>
      <c r="C239" s="15" t="str">
        <f aca="false">IF('Project Register'!$A239="","",IF(OR('Project Register'!E239="",'Project Register'!F239=""),"",IF('Project Register'!F239&lt;'Project Register'!E239,0,NETWORKDAYS.INTL('Project Register'!E239,'Project Register'!F239,"0000110",Holidays_Leave!$A$3:$A$62))))</f>
        <v/>
      </c>
      <c r="D239" s="15" t="str">
        <f aca="false">IF('Project Register'!$A239="","",('Project Register'!H239&lt;&gt;"")+('Project Register'!J239&lt;&gt;"")+('Project Register'!L239&lt;&gt;""))</f>
        <v/>
      </c>
      <c r="E239" s="16" t="str">
        <f aca="false">IF(OR(C239="",D239="",'Project Register'!G239=""),"",IF(OR(C239=0,D239=0),"",'Project Register'!G239/(C239*D239)))</f>
        <v/>
      </c>
      <c r="F239" s="15" t="str">
        <f aca="false">IF('Project Register'!$A239="","",TRIM(IF(OR('Project Register'!E239="",'Project Register'!F239=""),"Missing date. ","")&amp;IF(AND('Project Register'!E239&lt;&gt;"",'Project Register'!F239&lt;&gt;"",'Project Register'!F239&lt;'Project Register'!E239),"End before start. ","")&amp;IF(NOT(ISNUMBER('Project Register'!G239)),"Effort missing. ","")&amp;IF(D239=0,"No resource. ","")&amp;IF(AND('Project Register'!H239&lt;&gt;"",'Project Register'!I239=""),"Role 1 missing. ","")&amp;IF(AND('Project Register'!J239&lt;&gt;"",'Project Register'!K239=""),"Role 2 missing. ","")&amp;IF(AND('Project Register'!L239&lt;&gt;"",'Project Register'!M239=""),"Role 3 missing. ","")&amp;IF(OR(AND('Project Register'!H239&lt;&gt;"",'Project Register'!H239='Project Register'!J239),AND('Project Register'!H239&lt;&gt;"",'Project Register'!H239='Project Register'!L239),AND('Project Register'!J239&lt;&gt;"",'Project Register'!J239='Project Register'!L239)),"Same person listed twice. ","")&amp;IF(AND('Project Register'!H239&lt;&gt;"",COUNTIF(Resources!$A$2:$A$51,'Project Register'!H239)=0),"Resource 1 not in Resources sheet. ","")&amp;IF(AND('Project Register'!J239&lt;&gt;"",COUNTIF(Resources!$A$2:$A$51,'Project Register'!J239)=0),"Resource 2 not in Resources sheet. ","")&amp;IF(AND('Project Register'!L239&lt;&gt;"",COUNTIF(Resources!$A$2:$A$51,'Project Register'!L239)=0),"Resource 3 not in Resources sheet. ","")&amp;IF('Project Register'!O239="","Test Status missing. ","")&amp;IF(AND(ISNUMBER(E239),E239&gt;1),"This task alone needs over 100% per person. ","")&amp;IF(AND('Project Register'!Q239="Deployed in Live",'Project Register'!R239=""),"Release Date blank (import date will be used). ","")))</f>
        <v/>
      </c>
      <c r="G239" s="17" t="str">
        <f aca="false">IF('Project Register'!$A239="","",IF(F239="","OK","Check"))</f>
        <v/>
      </c>
    </row>
    <row r="240" customFormat="false" ht="15" hidden="false" customHeight="false" outlineLevel="0" collapsed="false">
      <c r="A240" s="15" t="str">
        <f aca="false">IF('Project Register'!$A240="","",ROW('Project Register'!A240))</f>
        <v/>
      </c>
      <c r="B240" s="15" t="str">
        <f aca="false">IF('Project Register'!$A240="","",'Project Register'!B240)</f>
        <v/>
      </c>
      <c r="C240" s="15" t="str">
        <f aca="false">IF('Project Register'!$A240="","",IF(OR('Project Register'!E240="",'Project Register'!F240=""),"",IF('Project Register'!F240&lt;'Project Register'!E240,0,NETWORKDAYS.INTL('Project Register'!E240,'Project Register'!F240,"0000110",Holidays_Leave!$A$3:$A$62))))</f>
        <v/>
      </c>
      <c r="D240" s="15" t="str">
        <f aca="false">IF('Project Register'!$A240="","",('Project Register'!H240&lt;&gt;"")+('Project Register'!J240&lt;&gt;"")+('Project Register'!L240&lt;&gt;""))</f>
        <v/>
      </c>
      <c r="E240" s="16" t="str">
        <f aca="false">IF(OR(C240="",D240="",'Project Register'!G240=""),"",IF(OR(C240=0,D240=0),"",'Project Register'!G240/(C240*D240)))</f>
        <v/>
      </c>
      <c r="F240" s="15" t="str">
        <f aca="false">IF('Project Register'!$A240="","",TRIM(IF(OR('Project Register'!E240="",'Project Register'!F240=""),"Missing date. ","")&amp;IF(AND('Project Register'!E240&lt;&gt;"",'Project Register'!F240&lt;&gt;"",'Project Register'!F240&lt;'Project Register'!E240),"End before start. ","")&amp;IF(NOT(ISNUMBER('Project Register'!G240)),"Effort missing. ","")&amp;IF(D240=0,"No resource. ","")&amp;IF(AND('Project Register'!H240&lt;&gt;"",'Project Register'!I240=""),"Role 1 missing. ","")&amp;IF(AND('Project Register'!J240&lt;&gt;"",'Project Register'!K240=""),"Role 2 missing. ","")&amp;IF(AND('Project Register'!L240&lt;&gt;"",'Project Register'!M240=""),"Role 3 missing. ","")&amp;IF(OR(AND('Project Register'!H240&lt;&gt;"",'Project Register'!H240='Project Register'!J240),AND('Project Register'!H240&lt;&gt;"",'Project Register'!H240='Project Register'!L240),AND('Project Register'!J240&lt;&gt;"",'Project Register'!J240='Project Register'!L240)),"Same person listed twice. ","")&amp;IF(AND('Project Register'!H240&lt;&gt;"",COUNTIF(Resources!$A$2:$A$51,'Project Register'!H240)=0),"Resource 1 not in Resources sheet. ","")&amp;IF(AND('Project Register'!J240&lt;&gt;"",COUNTIF(Resources!$A$2:$A$51,'Project Register'!J240)=0),"Resource 2 not in Resources sheet. ","")&amp;IF(AND('Project Register'!L240&lt;&gt;"",COUNTIF(Resources!$A$2:$A$51,'Project Register'!L240)=0),"Resource 3 not in Resources sheet. ","")&amp;IF('Project Register'!O240="","Test Status missing. ","")&amp;IF(AND(ISNUMBER(E240),E240&gt;1),"This task alone needs over 100% per person. ","")&amp;IF(AND('Project Register'!Q240="Deployed in Live",'Project Register'!R240=""),"Release Date blank (import date will be used). ","")))</f>
        <v/>
      </c>
      <c r="G240" s="17" t="str">
        <f aca="false">IF('Project Register'!$A240="","",IF(F240="","OK","Check"))</f>
        <v/>
      </c>
    </row>
    <row r="241" customFormat="false" ht="15" hidden="false" customHeight="false" outlineLevel="0" collapsed="false">
      <c r="A241" s="15" t="str">
        <f aca="false">IF('Project Register'!$A241="","",ROW('Project Register'!A241))</f>
        <v/>
      </c>
      <c r="B241" s="15" t="str">
        <f aca="false">IF('Project Register'!$A241="","",'Project Register'!B241)</f>
        <v/>
      </c>
      <c r="C241" s="15" t="str">
        <f aca="false">IF('Project Register'!$A241="","",IF(OR('Project Register'!E241="",'Project Register'!F241=""),"",IF('Project Register'!F241&lt;'Project Register'!E241,0,NETWORKDAYS.INTL('Project Register'!E241,'Project Register'!F241,"0000110",Holidays_Leave!$A$3:$A$62))))</f>
        <v/>
      </c>
      <c r="D241" s="15" t="str">
        <f aca="false">IF('Project Register'!$A241="","",('Project Register'!H241&lt;&gt;"")+('Project Register'!J241&lt;&gt;"")+('Project Register'!L241&lt;&gt;""))</f>
        <v/>
      </c>
      <c r="E241" s="16" t="str">
        <f aca="false">IF(OR(C241="",D241="",'Project Register'!G241=""),"",IF(OR(C241=0,D241=0),"",'Project Register'!G241/(C241*D241)))</f>
        <v/>
      </c>
      <c r="F241" s="15" t="str">
        <f aca="false">IF('Project Register'!$A241="","",TRIM(IF(OR('Project Register'!E241="",'Project Register'!F241=""),"Missing date. ","")&amp;IF(AND('Project Register'!E241&lt;&gt;"",'Project Register'!F241&lt;&gt;"",'Project Register'!F241&lt;'Project Register'!E241),"End before start. ","")&amp;IF(NOT(ISNUMBER('Project Register'!G241)),"Effort missing. ","")&amp;IF(D241=0,"No resource. ","")&amp;IF(AND('Project Register'!H241&lt;&gt;"",'Project Register'!I241=""),"Role 1 missing. ","")&amp;IF(AND('Project Register'!J241&lt;&gt;"",'Project Register'!K241=""),"Role 2 missing. ","")&amp;IF(AND('Project Register'!L241&lt;&gt;"",'Project Register'!M241=""),"Role 3 missing. ","")&amp;IF(OR(AND('Project Register'!H241&lt;&gt;"",'Project Register'!H241='Project Register'!J241),AND('Project Register'!H241&lt;&gt;"",'Project Register'!H241='Project Register'!L241),AND('Project Register'!J241&lt;&gt;"",'Project Register'!J241='Project Register'!L241)),"Same person listed twice. ","")&amp;IF(AND('Project Register'!H241&lt;&gt;"",COUNTIF(Resources!$A$2:$A$51,'Project Register'!H241)=0),"Resource 1 not in Resources sheet. ","")&amp;IF(AND('Project Register'!J241&lt;&gt;"",COUNTIF(Resources!$A$2:$A$51,'Project Register'!J241)=0),"Resource 2 not in Resources sheet. ","")&amp;IF(AND('Project Register'!L241&lt;&gt;"",COUNTIF(Resources!$A$2:$A$51,'Project Register'!L241)=0),"Resource 3 not in Resources sheet. ","")&amp;IF('Project Register'!O241="","Test Status missing. ","")&amp;IF(AND(ISNUMBER(E241),E241&gt;1),"This task alone needs over 100% per person. ","")&amp;IF(AND('Project Register'!Q241="Deployed in Live",'Project Register'!R241=""),"Release Date blank (import date will be used). ","")))</f>
        <v/>
      </c>
      <c r="G241" s="17" t="str">
        <f aca="false">IF('Project Register'!$A241="","",IF(F241="","OK","Check"))</f>
        <v/>
      </c>
    </row>
    <row r="242" customFormat="false" ht="15" hidden="false" customHeight="false" outlineLevel="0" collapsed="false">
      <c r="A242" s="15" t="str">
        <f aca="false">IF('Project Register'!$A242="","",ROW('Project Register'!A242))</f>
        <v/>
      </c>
      <c r="B242" s="15" t="str">
        <f aca="false">IF('Project Register'!$A242="","",'Project Register'!B242)</f>
        <v/>
      </c>
      <c r="C242" s="15" t="str">
        <f aca="false">IF('Project Register'!$A242="","",IF(OR('Project Register'!E242="",'Project Register'!F242=""),"",IF('Project Register'!F242&lt;'Project Register'!E242,0,NETWORKDAYS.INTL('Project Register'!E242,'Project Register'!F242,"0000110",Holidays_Leave!$A$3:$A$62))))</f>
        <v/>
      </c>
      <c r="D242" s="15" t="str">
        <f aca="false">IF('Project Register'!$A242="","",('Project Register'!H242&lt;&gt;"")+('Project Register'!J242&lt;&gt;"")+('Project Register'!L242&lt;&gt;""))</f>
        <v/>
      </c>
      <c r="E242" s="16" t="str">
        <f aca="false">IF(OR(C242="",D242="",'Project Register'!G242=""),"",IF(OR(C242=0,D242=0),"",'Project Register'!G242/(C242*D242)))</f>
        <v/>
      </c>
      <c r="F242" s="15" t="str">
        <f aca="false">IF('Project Register'!$A242="","",TRIM(IF(OR('Project Register'!E242="",'Project Register'!F242=""),"Missing date. ","")&amp;IF(AND('Project Register'!E242&lt;&gt;"",'Project Register'!F242&lt;&gt;"",'Project Register'!F242&lt;'Project Register'!E242),"End before start. ","")&amp;IF(NOT(ISNUMBER('Project Register'!G242)),"Effort missing. ","")&amp;IF(D242=0,"No resource. ","")&amp;IF(AND('Project Register'!H242&lt;&gt;"",'Project Register'!I242=""),"Role 1 missing. ","")&amp;IF(AND('Project Register'!J242&lt;&gt;"",'Project Register'!K242=""),"Role 2 missing. ","")&amp;IF(AND('Project Register'!L242&lt;&gt;"",'Project Register'!M242=""),"Role 3 missing. ","")&amp;IF(OR(AND('Project Register'!H242&lt;&gt;"",'Project Register'!H242='Project Register'!J242),AND('Project Register'!H242&lt;&gt;"",'Project Register'!H242='Project Register'!L242),AND('Project Register'!J242&lt;&gt;"",'Project Register'!J242='Project Register'!L242)),"Same person listed twice. ","")&amp;IF(AND('Project Register'!H242&lt;&gt;"",COUNTIF(Resources!$A$2:$A$51,'Project Register'!H242)=0),"Resource 1 not in Resources sheet. ","")&amp;IF(AND('Project Register'!J242&lt;&gt;"",COUNTIF(Resources!$A$2:$A$51,'Project Register'!J242)=0),"Resource 2 not in Resources sheet. ","")&amp;IF(AND('Project Register'!L242&lt;&gt;"",COUNTIF(Resources!$A$2:$A$51,'Project Register'!L242)=0),"Resource 3 not in Resources sheet. ","")&amp;IF('Project Register'!O242="","Test Status missing. ","")&amp;IF(AND(ISNUMBER(E242),E242&gt;1),"This task alone needs over 100% per person. ","")&amp;IF(AND('Project Register'!Q242="Deployed in Live",'Project Register'!R242=""),"Release Date blank (import date will be used). ","")))</f>
        <v/>
      </c>
      <c r="G242" s="17" t="str">
        <f aca="false">IF('Project Register'!$A242="","",IF(F242="","OK","Check"))</f>
        <v/>
      </c>
    </row>
    <row r="243" customFormat="false" ht="15" hidden="false" customHeight="false" outlineLevel="0" collapsed="false">
      <c r="A243" s="15" t="str">
        <f aca="false">IF('Project Register'!$A243="","",ROW('Project Register'!A243))</f>
        <v/>
      </c>
      <c r="B243" s="15" t="str">
        <f aca="false">IF('Project Register'!$A243="","",'Project Register'!B243)</f>
        <v/>
      </c>
      <c r="C243" s="15" t="str">
        <f aca="false">IF('Project Register'!$A243="","",IF(OR('Project Register'!E243="",'Project Register'!F243=""),"",IF('Project Register'!F243&lt;'Project Register'!E243,0,NETWORKDAYS.INTL('Project Register'!E243,'Project Register'!F243,"0000110",Holidays_Leave!$A$3:$A$62))))</f>
        <v/>
      </c>
      <c r="D243" s="15" t="str">
        <f aca="false">IF('Project Register'!$A243="","",('Project Register'!H243&lt;&gt;"")+('Project Register'!J243&lt;&gt;"")+('Project Register'!L243&lt;&gt;""))</f>
        <v/>
      </c>
      <c r="E243" s="16" t="str">
        <f aca="false">IF(OR(C243="",D243="",'Project Register'!G243=""),"",IF(OR(C243=0,D243=0),"",'Project Register'!G243/(C243*D243)))</f>
        <v/>
      </c>
      <c r="F243" s="15" t="str">
        <f aca="false">IF('Project Register'!$A243="","",TRIM(IF(OR('Project Register'!E243="",'Project Register'!F243=""),"Missing date. ","")&amp;IF(AND('Project Register'!E243&lt;&gt;"",'Project Register'!F243&lt;&gt;"",'Project Register'!F243&lt;'Project Register'!E243),"End before start. ","")&amp;IF(NOT(ISNUMBER('Project Register'!G243)),"Effort missing. ","")&amp;IF(D243=0,"No resource. ","")&amp;IF(AND('Project Register'!H243&lt;&gt;"",'Project Register'!I243=""),"Role 1 missing. ","")&amp;IF(AND('Project Register'!J243&lt;&gt;"",'Project Register'!K243=""),"Role 2 missing. ","")&amp;IF(AND('Project Register'!L243&lt;&gt;"",'Project Register'!M243=""),"Role 3 missing. ","")&amp;IF(OR(AND('Project Register'!H243&lt;&gt;"",'Project Register'!H243='Project Register'!J243),AND('Project Register'!H243&lt;&gt;"",'Project Register'!H243='Project Register'!L243),AND('Project Register'!J243&lt;&gt;"",'Project Register'!J243='Project Register'!L243)),"Same person listed twice. ","")&amp;IF(AND('Project Register'!H243&lt;&gt;"",COUNTIF(Resources!$A$2:$A$51,'Project Register'!H243)=0),"Resource 1 not in Resources sheet. ","")&amp;IF(AND('Project Register'!J243&lt;&gt;"",COUNTIF(Resources!$A$2:$A$51,'Project Register'!J243)=0),"Resource 2 not in Resources sheet. ","")&amp;IF(AND('Project Register'!L243&lt;&gt;"",COUNTIF(Resources!$A$2:$A$51,'Project Register'!L243)=0),"Resource 3 not in Resources sheet. ","")&amp;IF('Project Register'!O243="","Test Status missing. ","")&amp;IF(AND(ISNUMBER(E243),E243&gt;1),"This task alone needs over 100% per person. ","")&amp;IF(AND('Project Register'!Q243="Deployed in Live",'Project Register'!R243=""),"Release Date blank (import date will be used). ","")))</f>
        <v/>
      </c>
      <c r="G243" s="17" t="str">
        <f aca="false">IF('Project Register'!$A243="","",IF(F243="","OK","Check"))</f>
        <v/>
      </c>
    </row>
    <row r="244" customFormat="false" ht="15" hidden="false" customHeight="false" outlineLevel="0" collapsed="false">
      <c r="A244" s="15" t="str">
        <f aca="false">IF('Project Register'!$A244="","",ROW('Project Register'!A244))</f>
        <v/>
      </c>
      <c r="B244" s="15" t="str">
        <f aca="false">IF('Project Register'!$A244="","",'Project Register'!B244)</f>
        <v/>
      </c>
      <c r="C244" s="15" t="str">
        <f aca="false">IF('Project Register'!$A244="","",IF(OR('Project Register'!E244="",'Project Register'!F244=""),"",IF('Project Register'!F244&lt;'Project Register'!E244,0,NETWORKDAYS.INTL('Project Register'!E244,'Project Register'!F244,"0000110",Holidays_Leave!$A$3:$A$62))))</f>
        <v/>
      </c>
      <c r="D244" s="15" t="str">
        <f aca="false">IF('Project Register'!$A244="","",('Project Register'!H244&lt;&gt;"")+('Project Register'!J244&lt;&gt;"")+('Project Register'!L244&lt;&gt;""))</f>
        <v/>
      </c>
      <c r="E244" s="16" t="str">
        <f aca="false">IF(OR(C244="",D244="",'Project Register'!G244=""),"",IF(OR(C244=0,D244=0),"",'Project Register'!G244/(C244*D244)))</f>
        <v/>
      </c>
      <c r="F244" s="15" t="str">
        <f aca="false">IF('Project Register'!$A244="","",TRIM(IF(OR('Project Register'!E244="",'Project Register'!F244=""),"Missing date. ","")&amp;IF(AND('Project Register'!E244&lt;&gt;"",'Project Register'!F244&lt;&gt;"",'Project Register'!F244&lt;'Project Register'!E244),"End before start. ","")&amp;IF(NOT(ISNUMBER('Project Register'!G244)),"Effort missing. ","")&amp;IF(D244=0,"No resource. ","")&amp;IF(AND('Project Register'!H244&lt;&gt;"",'Project Register'!I244=""),"Role 1 missing. ","")&amp;IF(AND('Project Register'!J244&lt;&gt;"",'Project Register'!K244=""),"Role 2 missing. ","")&amp;IF(AND('Project Register'!L244&lt;&gt;"",'Project Register'!M244=""),"Role 3 missing. ","")&amp;IF(OR(AND('Project Register'!H244&lt;&gt;"",'Project Register'!H244='Project Register'!J244),AND('Project Register'!H244&lt;&gt;"",'Project Register'!H244='Project Register'!L244),AND('Project Register'!J244&lt;&gt;"",'Project Register'!J244='Project Register'!L244)),"Same person listed twice. ","")&amp;IF(AND('Project Register'!H244&lt;&gt;"",COUNTIF(Resources!$A$2:$A$51,'Project Register'!H244)=0),"Resource 1 not in Resources sheet. ","")&amp;IF(AND('Project Register'!J244&lt;&gt;"",COUNTIF(Resources!$A$2:$A$51,'Project Register'!J244)=0),"Resource 2 not in Resources sheet. ","")&amp;IF(AND('Project Register'!L244&lt;&gt;"",COUNTIF(Resources!$A$2:$A$51,'Project Register'!L244)=0),"Resource 3 not in Resources sheet. ","")&amp;IF('Project Register'!O244="","Test Status missing. ","")&amp;IF(AND(ISNUMBER(E244),E244&gt;1),"This task alone needs over 100% per person. ","")&amp;IF(AND('Project Register'!Q244="Deployed in Live",'Project Register'!R244=""),"Release Date blank (import date will be used). ","")))</f>
        <v/>
      </c>
      <c r="G244" s="17" t="str">
        <f aca="false">IF('Project Register'!$A244="","",IF(F244="","OK","Check"))</f>
        <v/>
      </c>
    </row>
    <row r="245" customFormat="false" ht="15" hidden="false" customHeight="false" outlineLevel="0" collapsed="false">
      <c r="A245" s="15" t="str">
        <f aca="false">IF('Project Register'!$A245="","",ROW('Project Register'!A245))</f>
        <v/>
      </c>
      <c r="B245" s="15" t="str">
        <f aca="false">IF('Project Register'!$A245="","",'Project Register'!B245)</f>
        <v/>
      </c>
      <c r="C245" s="15" t="str">
        <f aca="false">IF('Project Register'!$A245="","",IF(OR('Project Register'!E245="",'Project Register'!F245=""),"",IF('Project Register'!F245&lt;'Project Register'!E245,0,NETWORKDAYS.INTL('Project Register'!E245,'Project Register'!F245,"0000110",Holidays_Leave!$A$3:$A$62))))</f>
        <v/>
      </c>
      <c r="D245" s="15" t="str">
        <f aca="false">IF('Project Register'!$A245="","",('Project Register'!H245&lt;&gt;"")+('Project Register'!J245&lt;&gt;"")+('Project Register'!L245&lt;&gt;""))</f>
        <v/>
      </c>
      <c r="E245" s="16" t="str">
        <f aca="false">IF(OR(C245="",D245="",'Project Register'!G245=""),"",IF(OR(C245=0,D245=0),"",'Project Register'!G245/(C245*D245)))</f>
        <v/>
      </c>
      <c r="F245" s="15" t="str">
        <f aca="false">IF('Project Register'!$A245="","",TRIM(IF(OR('Project Register'!E245="",'Project Register'!F245=""),"Missing date. ","")&amp;IF(AND('Project Register'!E245&lt;&gt;"",'Project Register'!F245&lt;&gt;"",'Project Register'!F245&lt;'Project Register'!E245),"End before start. ","")&amp;IF(NOT(ISNUMBER('Project Register'!G245)),"Effort missing. ","")&amp;IF(D245=0,"No resource. ","")&amp;IF(AND('Project Register'!H245&lt;&gt;"",'Project Register'!I245=""),"Role 1 missing. ","")&amp;IF(AND('Project Register'!J245&lt;&gt;"",'Project Register'!K245=""),"Role 2 missing. ","")&amp;IF(AND('Project Register'!L245&lt;&gt;"",'Project Register'!M245=""),"Role 3 missing. ","")&amp;IF(OR(AND('Project Register'!H245&lt;&gt;"",'Project Register'!H245='Project Register'!J245),AND('Project Register'!H245&lt;&gt;"",'Project Register'!H245='Project Register'!L245),AND('Project Register'!J245&lt;&gt;"",'Project Register'!J245='Project Register'!L245)),"Same person listed twice. ","")&amp;IF(AND('Project Register'!H245&lt;&gt;"",COUNTIF(Resources!$A$2:$A$51,'Project Register'!H245)=0),"Resource 1 not in Resources sheet. ","")&amp;IF(AND('Project Register'!J245&lt;&gt;"",COUNTIF(Resources!$A$2:$A$51,'Project Register'!J245)=0),"Resource 2 not in Resources sheet. ","")&amp;IF(AND('Project Register'!L245&lt;&gt;"",COUNTIF(Resources!$A$2:$A$51,'Project Register'!L245)=0),"Resource 3 not in Resources sheet. ","")&amp;IF('Project Register'!O245="","Test Status missing. ","")&amp;IF(AND(ISNUMBER(E245),E245&gt;1),"This task alone needs over 100% per person. ","")&amp;IF(AND('Project Register'!Q245="Deployed in Live",'Project Register'!R245=""),"Release Date blank (import date will be used). ","")))</f>
        <v/>
      </c>
      <c r="G245" s="17" t="str">
        <f aca="false">IF('Project Register'!$A245="","",IF(F245="","OK","Check"))</f>
        <v/>
      </c>
    </row>
    <row r="246" customFormat="false" ht="15" hidden="false" customHeight="false" outlineLevel="0" collapsed="false">
      <c r="A246" s="15" t="str">
        <f aca="false">IF('Project Register'!$A246="","",ROW('Project Register'!A246))</f>
        <v/>
      </c>
      <c r="B246" s="15" t="str">
        <f aca="false">IF('Project Register'!$A246="","",'Project Register'!B246)</f>
        <v/>
      </c>
      <c r="C246" s="15" t="str">
        <f aca="false">IF('Project Register'!$A246="","",IF(OR('Project Register'!E246="",'Project Register'!F246=""),"",IF('Project Register'!F246&lt;'Project Register'!E246,0,NETWORKDAYS.INTL('Project Register'!E246,'Project Register'!F246,"0000110",Holidays_Leave!$A$3:$A$62))))</f>
        <v/>
      </c>
      <c r="D246" s="15" t="str">
        <f aca="false">IF('Project Register'!$A246="","",('Project Register'!H246&lt;&gt;"")+('Project Register'!J246&lt;&gt;"")+('Project Register'!L246&lt;&gt;""))</f>
        <v/>
      </c>
      <c r="E246" s="16" t="str">
        <f aca="false">IF(OR(C246="",D246="",'Project Register'!G246=""),"",IF(OR(C246=0,D246=0),"",'Project Register'!G246/(C246*D246)))</f>
        <v/>
      </c>
      <c r="F246" s="15" t="str">
        <f aca="false">IF('Project Register'!$A246="","",TRIM(IF(OR('Project Register'!E246="",'Project Register'!F246=""),"Missing date. ","")&amp;IF(AND('Project Register'!E246&lt;&gt;"",'Project Register'!F246&lt;&gt;"",'Project Register'!F246&lt;'Project Register'!E246),"End before start. ","")&amp;IF(NOT(ISNUMBER('Project Register'!G246)),"Effort missing. ","")&amp;IF(D246=0,"No resource. ","")&amp;IF(AND('Project Register'!H246&lt;&gt;"",'Project Register'!I246=""),"Role 1 missing. ","")&amp;IF(AND('Project Register'!J246&lt;&gt;"",'Project Register'!K246=""),"Role 2 missing. ","")&amp;IF(AND('Project Register'!L246&lt;&gt;"",'Project Register'!M246=""),"Role 3 missing. ","")&amp;IF(OR(AND('Project Register'!H246&lt;&gt;"",'Project Register'!H246='Project Register'!J246),AND('Project Register'!H246&lt;&gt;"",'Project Register'!H246='Project Register'!L246),AND('Project Register'!J246&lt;&gt;"",'Project Register'!J246='Project Register'!L246)),"Same person listed twice. ","")&amp;IF(AND('Project Register'!H246&lt;&gt;"",COUNTIF(Resources!$A$2:$A$51,'Project Register'!H246)=0),"Resource 1 not in Resources sheet. ","")&amp;IF(AND('Project Register'!J246&lt;&gt;"",COUNTIF(Resources!$A$2:$A$51,'Project Register'!J246)=0),"Resource 2 not in Resources sheet. ","")&amp;IF(AND('Project Register'!L246&lt;&gt;"",COUNTIF(Resources!$A$2:$A$51,'Project Register'!L246)=0),"Resource 3 not in Resources sheet. ","")&amp;IF('Project Register'!O246="","Test Status missing. ","")&amp;IF(AND(ISNUMBER(E246),E246&gt;1),"This task alone needs over 100% per person. ","")&amp;IF(AND('Project Register'!Q246="Deployed in Live",'Project Register'!R246=""),"Release Date blank (import date will be used). ","")))</f>
        <v/>
      </c>
      <c r="G246" s="17" t="str">
        <f aca="false">IF('Project Register'!$A246="","",IF(F246="","OK","Check"))</f>
        <v/>
      </c>
    </row>
    <row r="247" customFormat="false" ht="15" hidden="false" customHeight="false" outlineLevel="0" collapsed="false">
      <c r="A247" s="15" t="str">
        <f aca="false">IF('Project Register'!$A247="","",ROW('Project Register'!A247))</f>
        <v/>
      </c>
      <c r="B247" s="15" t="str">
        <f aca="false">IF('Project Register'!$A247="","",'Project Register'!B247)</f>
        <v/>
      </c>
      <c r="C247" s="15" t="str">
        <f aca="false">IF('Project Register'!$A247="","",IF(OR('Project Register'!E247="",'Project Register'!F247=""),"",IF('Project Register'!F247&lt;'Project Register'!E247,0,NETWORKDAYS.INTL('Project Register'!E247,'Project Register'!F247,"0000110",Holidays_Leave!$A$3:$A$62))))</f>
        <v/>
      </c>
      <c r="D247" s="15" t="str">
        <f aca="false">IF('Project Register'!$A247="","",('Project Register'!H247&lt;&gt;"")+('Project Register'!J247&lt;&gt;"")+('Project Register'!L247&lt;&gt;""))</f>
        <v/>
      </c>
      <c r="E247" s="16" t="str">
        <f aca="false">IF(OR(C247="",D247="",'Project Register'!G247=""),"",IF(OR(C247=0,D247=0),"",'Project Register'!G247/(C247*D247)))</f>
        <v/>
      </c>
      <c r="F247" s="15" t="str">
        <f aca="false">IF('Project Register'!$A247="","",TRIM(IF(OR('Project Register'!E247="",'Project Register'!F247=""),"Missing date. ","")&amp;IF(AND('Project Register'!E247&lt;&gt;"",'Project Register'!F247&lt;&gt;"",'Project Register'!F247&lt;'Project Register'!E247),"End before start. ","")&amp;IF(NOT(ISNUMBER('Project Register'!G247)),"Effort missing. ","")&amp;IF(D247=0,"No resource. ","")&amp;IF(AND('Project Register'!H247&lt;&gt;"",'Project Register'!I247=""),"Role 1 missing. ","")&amp;IF(AND('Project Register'!J247&lt;&gt;"",'Project Register'!K247=""),"Role 2 missing. ","")&amp;IF(AND('Project Register'!L247&lt;&gt;"",'Project Register'!M247=""),"Role 3 missing. ","")&amp;IF(OR(AND('Project Register'!H247&lt;&gt;"",'Project Register'!H247='Project Register'!J247),AND('Project Register'!H247&lt;&gt;"",'Project Register'!H247='Project Register'!L247),AND('Project Register'!J247&lt;&gt;"",'Project Register'!J247='Project Register'!L247)),"Same person listed twice. ","")&amp;IF(AND('Project Register'!H247&lt;&gt;"",COUNTIF(Resources!$A$2:$A$51,'Project Register'!H247)=0),"Resource 1 not in Resources sheet. ","")&amp;IF(AND('Project Register'!J247&lt;&gt;"",COUNTIF(Resources!$A$2:$A$51,'Project Register'!J247)=0),"Resource 2 not in Resources sheet. ","")&amp;IF(AND('Project Register'!L247&lt;&gt;"",COUNTIF(Resources!$A$2:$A$51,'Project Register'!L247)=0),"Resource 3 not in Resources sheet. ","")&amp;IF('Project Register'!O247="","Test Status missing. ","")&amp;IF(AND(ISNUMBER(E247),E247&gt;1),"This task alone needs over 100% per person. ","")&amp;IF(AND('Project Register'!Q247="Deployed in Live",'Project Register'!R247=""),"Release Date blank (import date will be used). ","")))</f>
        <v/>
      </c>
      <c r="G247" s="17" t="str">
        <f aca="false">IF('Project Register'!$A247="","",IF(F247="","OK","Check"))</f>
        <v/>
      </c>
    </row>
    <row r="248" customFormat="false" ht="15" hidden="false" customHeight="false" outlineLevel="0" collapsed="false">
      <c r="A248" s="15" t="str">
        <f aca="false">IF('Project Register'!$A248="","",ROW('Project Register'!A248))</f>
        <v/>
      </c>
      <c r="B248" s="15" t="str">
        <f aca="false">IF('Project Register'!$A248="","",'Project Register'!B248)</f>
        <v/>
      </c>
      <c r="C248" s="15" t="str">
        <f aca="false">IF('Project Register'!$A248="","",IF(OR('Project Register'!E248="",'Project Register'!F248=""),"",IF('Project Register'!F248&lt;'Project Register'!E248,0,NETWORKDAYS.INTL('Project Register'!E248,'Project Register'!F248,"0000110",Holidays_Leave!$A$3:$A$62))))</f>
        <v/>
      </c>
      <c r="D248" s="15" t="str">
        <f aca="false">IF('Project Register'!$A248="","",('Project Register'!H248&lt;&gt;"")+('Project Register'!J248&lt;&gt;"")+('Project Register'!L248&lt;&gt;""))</f>
        <v/>
      </c>
      <c r="E248" s="16" t="str">
        <f aca="false">IF(OR(C248="",D248="",'Project Register'!G248=""),"",IF(OR(C248=0,D248=0),"",'Project Register'!G248/(C248*D248)))</f>
        <v/>
      </c>
      <c r="F248" s="15" t="str">
        <f aca="false">IF('Project Register'!$A248="","",TRIM(IF(OR('Project Register'!E248="",'Project Register'!F248=""),"Missing date. ","")&amp;IF(AND('Project Register'!E248&lt;&gt;"",'Project Register'!F248&lt;&gt;"",'Project Register'!F248&lt;'Project Register'!E248),"End before start. ","")&amp;IF(NOT(ISNUMBER('Project Register'!G248)),"Effort missing. ","")&amp;IF(D248=0,"No resource. ","")&amp;IF(AND('Project Register'!H248&lt;&gt;"",'Project Register'!I248=""),"Role 1 missing. ","")&amp;IF(AND('Project Register'!J248&lt;&gt;"",'Project Register'!K248=""),"Role 2 missing. ","")&amp;IF(AND('Project Register'!L248&lt;&gt;"",'Project Register'!M248=""),"Role 3 missing. ","")&amp;IF(OR(AND('Project Register'!H248&lt;&gt;"",'Project Register'!H248='Project Register'!J248),AND('Project Register'!H248&lt;&gt;"",'Project Register'!H248='Project Register'!L248),AND('Project Register'!J248&lt;&gt;"",'Project Register'!J248='Project Register'!L248)),"Same person listed twice. ","")&amp;IF(AND('Project Register'!H248&lt;&gt;"",COUNTIF(Resources!$A$2:$A$51,'Project Register'!H248)=0),"Resource 1 not in Resources sheet. ","")&amp;IF(AND('Project Register'!J248&lt;&gt;"",COUNTIF(Resources!$A$2:$A$51,'Project Register'!J248)=0),"Resource 2 not in Resources sheet. ","")&amp;IF(AND('Project Register'!L248&lt;&gt;"",COUNTIF(Resources!$A$2:$A$51,'Project Register'!L248)=0),"Resource 3 not in Resources sheet. ","")&amp;IF('Project Register'!O248="","Test Status missing. ","")&amp;IF(AND(ISNUMBER(E248),E248&gt;1),"This task alone needs over 100% per person. ","")&amp;IF(AND('Project Register'!Q248="Deployed in Live",'Project Register'!R248=""),"Release Date blank (import date will be used). ","")))</f>
        <v/>
      </c>
      <c r="G248" s="17" t="str">
        <f aca="false">IF('Project Register'!$A248="","",IF(F248="","OK","Check"))</f>
        <v/>
      </c>
    </row>
    <row r="249" customFormat="false" ht="15" hidden="false" customHeight="false" outlineLevel="0" collapsed="false">
      <c r="A249" s="15" t="str">
        <f aca="false">IF('Project Register'!$A249="","",ROW('Project Register'!A249))</f>
        <v/>
      </c>
      <c r="B249" s="15" t="str">
        <f aca="false">IF('Project Register'!$A249="","",'Project Register'!B249)</f>
        <v/>
      </c>
      <c r="C249" s="15" t="str">
        <f aca="false">IF('Project Register'!$A249="","",IF(OR('Project Register'!E249="",'Project Register'!F249=""),"",IF('Project Register'!F249&lt;'Project Register'!E249,0,NETWORKDAYS.INTL('Project Register'!E249,'Project Register'!F249,"0000110",Holidays_Leave!$A$3:$A$62))))</f>
        <v/>
      </c>
      <c r="D249" s="15" t="str">
        <f aca="false">IF('Project Register'!$A249="","",('Project Register'!H249&lt;&gt;"")+('Project Register'!J249&lt;&gt;"")+('Project Register'!L249&lt;&gt;""))</f>
        <v/>
      </c>
      <c r="E249" s="16" t="str">
        <f aca="false">IF(OR(C249="",D249="",'Project Register'!G249=""),"",IF(OR(C249=0,D249=0),"",'Project Register'!G249/(C249*D249)))</f>
        <v/>
      </c>
      <c r="F249" s="15" t="str">
        <f aca="false">IF('Project Register'!$A249="","",TRIM(IF(OR('Project Register'!E249="",'Project Register'!F249=""),"Missing date. ","")&amp;IF(AND('Project Register'!E249&lt;&gt;"",'Project Register'!F249&lt;&gt;"",'Project Register'!F249&lt;'Project Register'!E249),"End before start. ","")&amp;IF(NOT(ISNUMBER('Project Register'!G249)),"Effort missing. ","")&amp;IF(D249=0,"No resource. ","")&amp;IF(AND('Project Register'!H249&lt;&gt;"",'Project Register'!I249=""),"Role 1 missing. ","")&amp;IF(AND('Project Register'!J249&lt;&gt;"",'Project Register'!K249=""),"Role 2 missing. ","")&amp;IF(AND('Project Register'!L249&lt;&gt;"",'Project Register'!M249=""),"Role 3 missing. ","")&amp;IF(OR(AND('Project Register'!H249&lt;&gt;"",'Project Register'!H249='Project Register'!J249),AND('Project Register'!H249&lt;&gt;"",'Project Register'!H249='Project Register'!L249),AND('Project Register'!J249&lt;&gt;"",'Project Register'!J249='Project Register'!L249)),"Same person listed twice. ","")&amp;IF(AND('Project Register'!H249&lt;&gt;"",COUNTIF(Resources!$A$2:$A$51,'Project Register'!H249)=0),"Resource 1 not in Resources sheet. ","")&amp;IF(AND('Project Register'!J249&lt;&gt;"",COUNTIF(Resources!$A$2:$A$51,'Project Register'!J249)=0),"Resource 2 not in Resources sheet. ","")&amp;IF(AND('Project Register'!L249&lt;&gt;"",COUNTIF(Resources!$A$2:$A$51,'Project Register'!L249)=0),"Resource 3 not in Resources sheet. ","")&amp;IF('Project Register'!O249="","Test Status missing. ","")&amp;IF(AND(ISNUMBER(E249),E249&gt;1),"This task alone needs over 100% per person. ","")&amp;IF(AND('Project Register'!Q249="Deployed in Live",'Project Register'!R249=""),"Release Date blank (import date will be used). ","")))</f>
        <v/>
      </c>
      <c r="G249" s="17" t="str">
        <f aca="false">IF('Project Register'!$A249="","",IF(F249="","OK","Check"))</f>
        <v/>
      </c>
    </row>
    <row r="250" customFormat="false" ht="15" hidden="false" customHeight="false" outlineLevel="0" collapsed="false">
      <c r="A250" s="15" t="str">
        <f aca="false">IF('Project Register'!$A250="","",ROW('Project Register'!A250))</f>
        <v/>
      </c>
      <c r="B250" s="15" t="str">
        <f aca="false">IF('Project Register'!$A250="","",'Project Register'!B250)</f>
        <v/>
      </c>
      <c r="C250" s="15" t="str">
        <f aca="false">IF('Project Register'!$A250="","",IF(OR('Project Register'!E250="",'Project Register'!F250=""),"",IF('Project Register'!F250&lt;'Project Register'!E250,0,NETWORKDAYS.INTL('Project Register'!E250,'Project Register'!F250,"0000110",Holidays_Leave!$A$3:$A$62))))</f>
        <v/>
      </c>
      <c r="D250" s="15" t="str">
        <f aca="false">IF('Project Register'!$A250="","",('Project Register'!H250&lt;&gt;"")+('Project Register'!J250&lt;&gt;"")+('Project Register'!L250&lt;&gt;""))</f>
        <v/>
      </c>
      <c r="E250" s="16" t="str">
        <f aca="false">IF(OR(C250="",D250="",'Project Register'!G250=""),"",IF(OR(C250=0,D250=0),"",'Project Register'!G250/(C250*D250)))</f>
        <v/>
      </c>
      <c r="F250" s="15" t="str">
        <f aca="false">IF('Project Register'!$A250="","",TRIM(IF(OR('Project Register'!E250="",'Project Register'!F250=""),"Missing date. ","")&amp;IF(AND('Project Register'!E250&lt;&gt;"",'Project Register'!F250&lt;&gt;"",'Project Register'!F250&lt;'Project Register'!E250),"End before start. ","")&amp;IF(NOT(ISNUMBER('Project Register'!G250)),"Effort missing. ","")&amp;IF(D250=0,"No resource. ","")&amp;IF(AND('Project Register'!H250&lt;&gt;"",'Project Register'!I250=""),"Role 1 missing. ","")&amp;IF(AND('Project Register'!J250&lt;&gt;"",'Project Register'!K250=""),"Role 2 missing. ","")&amp;IF(AND('Project Register'!L250&lt;&gt;"",'Project Register'!M250=""),"Role 3 missing. ","")&amp;IF(OR(AND('Project Register'!H250&lt;&gt;"",'Project Register'!H250='Project Register'!J250),AND('Project Register'!H250&lt;&gt;"",'Project Register'!H250='Project Register'!L250),AND('Project Register'!J250&lt;&gt;"",'Project Register'!J250='Project Register'!L250)),"Same person listed twice. ","")&amp;IF(AND('Project Register'!H250&lt;&gt;"",COUNTIF(Resources!$A$2:$A$51,'Project Register'!H250)=0),"Resource 1 not in Resources sheet. ","")&amp;IF(AND('Project Register'!J250&lt;&gt;"",COUNTIF(Resources!$A$2:$A$51,'Project Register'!J250)=0),"Resource 2 not in Resources sheet. ","")&amp;IF(AND('Project Register'!L250&lt;&gt;"",COUNTIF(Resources!$A$2:$A$51,'Project Register'!L250)=0),"Resource 3 not in Resources sheet. ","")&amp;IF('Project Register'!O250="","Test Status missing. ","")&amp;IF(AND(ISNUMBER(E250),E250&gt;1),"This task alone needs over 100% per person. ","")&amp;IF(AND('Project Register'!Q250="Deployed in Live",'Project Register'!R250=""),"Release Date blank (import date will be used). ","")))</f>
        <v/>
      </c>
      <c r="G250" s="17" t="str">
        <f aca="false">IF('Project Register'!$A250="","",IF(F250="","OK","Check"))</f>
        <v/>
      </c>
    </row>
    <row r="251" customFormat="false" ht="15" hidden="false" customHeight="false" outlineLevel="0" collapsed="false">
      <c r="A251" s="15" t="str">
        <f aca="false">IF('Project Register'!$A251="","",ROW('Project Register'!A251))</f>
        <v/>
      </c>
      <c r="B251" s="15" t="str">
        <f aca="false">IF('Project Register'!$A251="","",'Project Register'!B251)</f>
        <v/>
      </c>
      <c r="C251" s="15" t="str">
        <f aca="false">IF('Project Register'!$A251="","",IF(OR('Project Register'!E251="",'Project Register'!F251=""),"",IF('Project Register'!F251&lt;'Project Register'!E251,0,NETWORKDAYS.INTL('Project Register'!E251,'Project Register'!F251,"0000110",Holidays_Leave!$A$3:$A$62))))</f>
        <v/>
      </c>
      <c r="D251" s="15" t="str">
        <f aca="false">IF('Project Register'!$A251="","",('Project Register'!H251&lt;&gt;"")+('Project Register'!J251&lt;&gt;"")+('Project Register'!L251&lt;&gt;""))</f>
        <v/>
      </c>
      <c r="E251" s="16" t="str">
        <f aca="false">IF(OR(C251="",D251="",'Project Register'!G251=""),"",IF(OR(C251=0,D251=0),"",'Project Register'!G251/(C251*D251)))</f>
        <v/>
      </c>
      <c r="F251" s="15" t="str">
        <f aca="false">IF('Project Register'!$A251="","",TRIM(IF(OR('Project Register'!E251="",'Project Register'!F251=""),"Missing date. ","")&amp;IF(AND('Project Register'!E251&lt;&gt;"",'Project Register'!F251&lt;&gt;"",'Project Register'!F251&lt;'Project Register'!E251),"End before start. ","")&amp;IF(NOT(ISNUMBER('Project Register'!G251)),"Effort missing. ","")&amp;IF(D251=0,"No resource. ","")&amp;IF(AND('Project Register'!H251&lt;&gt;"",'Project Register'!I251=""),"Role 1 missing. ","")&amp;IF(AND('Project Register'!J251&lt;&gt;"",'Project Register'!K251=""),"Role 2 missing. ","")&amp;IF(AND('Project Register'!L251&lt;&gt;"",'Project Register'!M251=""),"Role 3 missing. ","")&amp;IF(OR(AND('Project Register'!H251&lt;&gt;"",'Project Register'!H251='Project Register'!J251),AND('Project Register'!H251&lt;&gt;"",'Project Register'!H251='Project Register'!L251),AND('Project Register'!J251&lt;&gt;"",'Project Register'!J251='Project Register'!L251)),"Same person listed twice. ","")&amp;IF(AND('Project Register'!H251&lt;&gt;"",COUNTIF(Resources!$A$2:$A$51,'Project Register'!H251)=0),"Resource 1 not in Resources sheet. ","")&amp;IF(AND('Project Register'!J251&lt;&gt;"",COUNTIF(Resources!$A$2:$A$51,'Project Register'!J251)=0),"Resource 2 not in Resources sheet. ","")&amp;IF(AND('Project Register'!L251&lt;&gt;"",COUNTIF(Resources!$A$2:$A$51,'Project Register'!L251)=0),"Resource 3 not in Resources sheet. ","")&amp;IF('Project Register'!O251="","Test Status missing. ","")&amp;IF(AND(ISNUMBER(E251),E251&gt;1),"This task alone needs over 100% per person. ","")&amp;IF(AND('Project Register'!Q251="Deployed in Live",'Project Register'!R251=""),"Release Date blank (import date will be used). ","")))</f>
        <v/>
      </c>
      <c r="G251" s="17" t="str">
        <f aca="false">IF('Project Register'!$A251="","",IF(F251="","OK","Check"))</f>
        <v/>
      </c>
    </row>
    <row r="252" customFormat="false" ht="15" hidden="false" customHeight="false" outlineLevel="0" collapsed="false">
      <c r="A252" s="15" t="str">
        <f aca="false">IF('Project Register'!$A252="","",ROW('Project Register'!A252))</f>
        <v/>
      </c>
      <c r="B252" s="15" t="str">
        <f aca="false">IF('Project Register'!$A252="","",'Project Register'!B252)</f>
        <v/>
      </c>
      <c r="C252" s="15" t="str">
        <f aca="false">IF('Project Register'!$A252="","",IF(OR('Project Register'!E252="",'Project Register'!F252=""),"",IF('Project Register'!F252&lt;'Project Register'!E252,0,NETWORKDAYS.INTL('Project Register'!E252,'Project Register'!F252,"0000110",Holidays_Leave!$A$3:$A$62))))</f>
        <v/>
      </c>
      <c r="D252" s="15" t="str">
        <f aca="false">IF('Project Register'!$A252="","",('Project Register'!H252&lt;&gt;"")+('Project Register'!J252&lt;&gt;"")+('Project Register'!L252&lt;&gt;""))</f>
        <v/>
      </c>
      <c r="E252" s="16" t="str">
        <f aca="false">IF(OR(C252="",D252="",'Project Register'!G252=""),"",IF(OR(C252=0,D252=0),"",'Project Register'!G252/(C252*D252)))</f>
        <v/>
      </c>
      <c r="F252" s="15" t="str">
        <f aca="false">IF('Project Register'!$A252="","",TRIM(IF(OR('Project Register'!E252="",'Project Register'!F252=""),"Missing date. ","")&amp;IF(AND('Project Register'!E252&lt;&gt;"",'Project Register'!F252&lt;&gt;"",'Project Register'!F252&lt;'Project Register'!E252),"End before start. ","")&amp;IF(NOT(ISNUMBER('Project Register'!G252)),"Effort missing. ","")&amp;IF(D252=0,"No resource. ","")&amp;IF(AND('Project Register'!H252&lt;&gt;"",'Project Register'!I252=""),"Role 1 missing. ","")&amp;IF(AND('Project Register'!J252&lt;&gt;"",'Project Register'!K252=""),"Role 2 missing. ","")&amp;IF(AND('Project Register'!L252&lt;&gt;"",'Project Register'!M252=""),"Role 3 missing. ","")&amp;IF(OR(AND('Project Register'!H252&lt;&gt;"",'Project Register'!H252='Project Register'!J252),AND('Project Register'!H252&lt;&gt;"",'Project Register'!H252='Project Register'!L252),AND('Project Register'!J252&lt;&gt;"",'Project Register'!J252='Project Register'!L252)),"Same person listed twice. ","")&amp;IF(AND('Project Register'!H252&lt;&gt;"",COUNTIF(Resources!$A$2:$A$51,'Project Register'!H252)=0),"Resource 1 not in Resources sheet. ","")&amp;IF(AND('Project Register'!J252&lt;&gt;"",COUNTIF(Resources!$A$2:$A$51,'Project Register'!J252)=0),"Resource 2 not in Resources sheet. ","")&amp;IF(AND('Project Register'!L252&lt;&gt;"",COUNTIF(Resources!$A$2:$A$51,'Project Register'!L252)=0),"Resource 3 not in Resources sheet. ","")&amp;IF('Project Register'!O252="","Test Status missing. ","")&amp;IF(AND(ISNUMBER(E252),E252&gt;1),"This task alone needs over 100% per person. ","")&amp;IF(AND('Project Register'!Q252="Deployed in Live",'Project Register'!R252=""),"Release Date blank (import date will be used). ","")))</f>
        <v/>
      </c>
      <c r="G252" s="17" t="str">
        <f aca="false">IF('Project Register'!$A252="","",IF(F252="","OK","Check"))</f>
        <v/>
      </c>
    </row>
    <row r="253" customFormat="false" ht="15" hidden="false" customHeight="false" outlineLevel="0" collapsed="false">
      <c r="A253" s="15" t="str">
        <f aca="false">IF('Project Register'!$A253="","",ROW('Project Register'!A253))</f>
        <v/>
      </c>
      <c r="B253" s="15" t="str">
        <f aca="false">IF('Project Register'!$A253="","",'Project Register'!B253)</f>
        <v/>
      </c>
      <c r="C253" s="15" t="str">
        <f aca="false">IF('Project Register'!$A253="","",IF(OR('Project Register'!E253="",'Project Register'!F253=""),"",IF('Project Register'!F253&lt;'Project Register'!E253,0,NETWORKDAYS.INTL('Project Register'!E253,'Project Register'!F253,"0000110",Holidays_Leave!$A$3:$A$62))))</f>
        <v/>
      </c>
      <c r="D253" s="15" t="str">
        <f aca="false">IF('Project Register'!$A253="","",('Project Register'!H253&lt;&gt;"")+('Project Register'!J253&lt;&gt;"")+('Project Register'!L253&lt;&gt;""))</f>
        <v/>
      </c>
      <c r="E253" s="16" t="str">
        <f aca="false">IF(OR(C253="",D253="",'Project Register'!G253=""),"",IF(OR(C253=0,D253=0),"",'Project Register'!G253/(C253*D253)))</f>
        <v/>
      </c>
      <c r="F253" s="15" t="str">
        <f aca="false">IF('Project Register'!$A253="","",TRIM(IF(OR('Project Register'!E253="",'Project Register'!F253=""),"Missing date. ","")&amp;IF(AND('Project Register'!E253&lt;&gt;"",'Project Register'!F253&lt;&gt;"",'Project Register'!F253&lt;'Project Register'!E253),"End before start. ","")&amp;IF(NOT(ISNUMBER('Project Register'!G253)),"Effort missing. ","")&amp;IF(D253=0,"No resource. ","")&amp;IF(AND('Project Register'!H253&lt;&gt;"",'Project Register'!I253=""),"Role 1 missing. ","")&amp;IF(AND('Project Register'!J253&lt;&gt;"",'Project Register'!K253=""),"Role 2 missing. ","")&amp;IF(AND('Project Register'!L253&lt;&gt;"",'Project Register'!M253=""),"Role 3 missing. ","")&amp;IF(OR(AND('Project Register'!H253&lt;&gt;"",'Project Register'!H253='Project Register'!J253),AND('Project Register'!H253&lt;&gt;"",'Project Register'!H253='Project Register'!L253),AND('Project Register'!J253&lt;&gt;"",'Project Register'!J253='Project Register'!L253)),"Same person listed twice. ","")&amp;IF(AND('Project Register'!H253&lt;&gt;"",COUNTIF(Resources!$A$2:$A$51,'Project Register'!H253)=0),"Resource 1 not in Resources sheet. ","")&amp;IF(AND('Project Register'!J253&lt;&gt;"",COUNTIF(Resources!$A$2:$A$51,'Project Register'!J253)=0),"Resource 2 not in Resources sheet. ","")&amp;IF(AND('Project Register'!L253&lt;&gt;"",COUNTIF(Resources!$A$2:$A$51,'Project Register'!L253)=0),"Resource 3 not in Resources sheet. ","")&amp;IF('Project Register'!O253="","Test Status missing. ","")&amp;IF(AND(ISNUMBER(E253),E253&gt;1),"This task alone needs over 100% per person. ","")&amp;IF(AND('Project Register'!Q253="Deployed in Live",'Project Register'!R253=""),"Release Date blank (import date will be used). ","")))</f>
        <v/>
      </c>
      <c r="G253" s="17" t="str">
        <f aca="false">IF('Project Register'!$A253="","",IF(F253="","OK","Check"))</f>
        <v/>
      </c>
    </row>
    <row r="254" customFormat="false" ht="15" hidden="false" customHeight="false" outlineLevel="0" collapsed="false">
      <c r="A254" s="15" t="str">
        <f aca="false">IF('Project Register'!$A254="","",ROW('Project Register'!A254))</f>
        <v/>
      </c>
      <c r="B254" s="15" t="str">
        <f aca="false">IF('Project Register'!$A254="","",'Project Register'!B254)</f>
        <v/>
      </c>
      <c r="C254" s="15" t="str">
        <f aca="false">IF('Project Register'!$A254="","",IF(OR('Project Register'!E254="",'Project Register'!F254=""),"",IF('Project Register'!F254&lt;'Project Register'!E254,0,NETWORKDAYS.INTL('Project Register'!E254,'Project Register'!F254,"0000110",Holidays_Leave!$A$3:$A$62))))</f>
        <v/>
      </c>
      <c r="D254" s="15" t="str">
        <f aca="false">IF('Project Register'!$A254="","",('Project Register'!H254&lt;&gt;"")+('Project Register'!J254&lt;&gt;"")+('Project Register'!L254&lt;&gt;""))</f>
        <v/>
      </c>
      <c r="E254" s="16" t="str">
        <f aca="false">IF(OR(C254="",D254="",'Project Register'!G254=""),"",IF(OR(C254=0,D254=0),"",'Project Register'!G254/(C254*D254)))</f>
        <v/>
      </c>
      <c r="F254" s="15" t="str">
        <f aca="false">IF('Project Register'!$A254="","",TRIM(IF(OR('Project Register'!E254="",'Project Register'!F254=""),"Missing date. ","")&amp;IF(AND('Project Register'!E254&lt;&gt;"",'Project Register'!F254&lt;&gt;"",'Project Register'!F254&lt;'Project Register'!E254),"End before start. ","")&amp;IF(NOT(ISNUMBER('Project Register'!G254)),"Effort missing. ","")&amp;IF(D254=0,"No resource. ","")&amp;IF(AND('Project Register'!H254&lt;&gt;"",'Project Register'!I254=""),"Role 1 missing. ","")&amp;IF(AND('Project Register'!J254&lt;&gt;"",'Project Register'!K254=""),"Role 2 missing. ","")&amp;IF(AND('Project Register'!L254&lt;&gt;"",'Project Register'!M254=""),"Role 3 missing. ","")&amp;IF(OR(AND('Project Register'!H254&lt;&gt;"",'Project Register'!H254='Project Register'!J254),AND('Project Register'!H254&lt;&gt;"",'Project Register'!H254='Project Register'!L254),AND('Project Register'!J254&lt;&gt;"",'Project Register'!J254='Project Register'!L254)),"Same person listed twice. ","")&amp;IF(AND('Project Register'!H254&lt;&gt;"",COUNTIF(Resources!$A$2:$A$51,'Project Register'!H254)=0),"Resource 1 not in Resources sheet. ","")&amp;IF(AND('Project Register'!J254&lt;&gt;"",COUNTIF(Resources!$A$2:$A$51,'Project Register'!J254)=0),"Resource 2 not in Resources sheet. ","")&amp;IF(AND('Project Register'!L254&lt;&gt;"",COUNTIF(Resources!$A$2:$A$51,'Project Register'!L254)=0),"Resource 3 not in Resources sheet. ","")&amp;IF('Project Register'!O254="","Test Status missing. ","")&amp;IF(AND(ISNUMBER(E254),E254&gt;1),"This task alone needs over 100% per person. ","")&amp;IF(AND('Project Register'!Q254="Deployed in Live",'Project Register'!R254=""),"Release Date blank (import date will be used). ","")))</f>
        <v/>
      </c>
      <c r="G254" s="17" t="str">
        <f aca="false">IF('Project Register'!$A254="","",IF(F254="","OK","Check"))</f>
        <v/>
      </c>
    </row>
    <row r="255" customFormat="false" ht="15" hidden="false" customHeight="false" outlineLevel="0" collapsed="false">
      <c r="A255" s="15" t="str">
        <f aca="false">IF('Project Register'!$A255="","",ROW('Project Register'!A255))</f>
        <v/>
      </c>
      <c r="B255" s="15" t="str">
        <f aca="false">IF('Project Register'!$A255="","",'Project Register'!B255)</f>
        <v/>
      </c>
      <c r="C255" s="15" t="str">
        <f aca="false">IF('Project Register'!$A255="","",IF(OR('Project Register'!E255="",'Project Register'!F255=""),"",IF('Project Register'!F255&lt;'Project Register'!E255,0,NETWORKDAYS.INTL('Project Register'!E255,'Project Register'!F255,"0000110",Holidays_Leave!$A$3:$A$62))))</f>
        <v/>
      </c>
      <c r="D255" s="15" t="str">
        <f aca="false">IF('Project Register'!$A255="","",('Project Register'!H255&lt;&gt;"")+('Project Register'!J255&lt;&gt;"")+('Project Register'!L255&lt;&gt;""))</f>
        <v/>
      </c>
      <c r="E255" s="16" t="str">
        <f aca="false">IF(OR(C255="",D255="",'Project Register'!G255=""),"",IF(OR(C255=0,D255=0),"",'Project Register'!G255/(C255*D255)))</f>
        <v/>
      </c>
      <c r="F255" s="15" t="str">
        <f aca="false">IF('Project Register'!$A255="","",TRIM(IF(OR('Project Register'!E255="",'Project Register'!F255=""),"Missing date. ","")&amp;IF(AND('Project Register'!E255&lt;&gt;"",'Project Register'!F255&lt;&gt;"",'Project Register'!F255&lt;'Project Register'!E255),"End before start. ","")&amp;IF(NOT(ISNUMBER('Project Register'!G255)),"Effort missing. ","")&amp;IF(D255=0,"No resource. ","")&amp;IF(AND('Project Register'!H255&lt;&gt;"",'Project Register'!I255=""),"Role 1 missing. ","")&amp;IF(AND('Project Register'!J255&lt;&gt;"",'Project Register'!K255=""),"Role 2 missing. ","")&amp;IF(AND('Project Register'!L255&lt;&gt;"",'Project Register'!M255=""),"Role 3 missing. ","")&amp;IF(OR(AND('Project Register'!H255&lt;&gt;"",'Project Register'!H255='Project Register'!J255),AND('Project Register'!H255&lt;&gt;"",'Project Register'!H255='Project Register'!L255),AND('Project Register'!J255&lt;&gt;"",'Project Register'!J255='Project Register'!L255)),"Same person listed twice. ","")&amp;IF(AND('Project Register'!H255&lt;&gt;"",COUNTIF(Resources!$A$2:$A$51,'Project Register'!H255)=0),"Resource 1 not in Resources sheet. ","")&amp;IF(AND('Project Register'!J255&lt;&gt;"",COUNTIF(Resources!$A$2:$A$51,'Project Register'!J255)=0),"Resource 2 not in Resources sheet. ","")&amp;IF(AND('Project Register'!L255&lt;&gt;"",COUNTIF(Resources!$A$2:$A$51,'Project Register'!L255)=0),"Resource 3 not in Resources sheet. ","")&amp;IF('Project Register'!O255="","Test Status missing. ","")&amp;IF(AND(ISNUMBER(E255),E255&gt;1),"This task alone needs over 100% per person. ","")&amp;IF(AND('Project Register'!Q255="Deployed in Live",'Project Register'!R255=""),"Release Date blank (import date will be used). ","")))</f>
        <v/>
      </c>
      <c r="G255" s="17" t="str">
        <f aca="false">IF('Project Register'!$A255="","",IF(F255="","OK","Check"))</f>
        <v/>
      </c>
    </row>
    <row r="256" customFormat="false" ht="15" hidden="false" customHeight="false" outlineLevel="0" collapsed="false">
      <c r="A256" s="15" t="str">
        <f aca="false">IF('Project Register'!$A256="","",ROW('Project Register'!A256))</f>
        <v/>
      </c>
      <c r="B256" s="15" t="str">
        <f aca="false">IF('Project Register'!$A256="","",'Project Register'!B256)</f>
        <v/>
      </c>
      <c r="C256" s="15" t="str">
        <f aca="false">IF('Project Register'!$A256="","",IF(OR('Project Register'!E256="",'Project Register'!F256=""),"",IF('Project Register'!F256&lt;'Project Register'!E256,0,NETWORKDAYS.INTL('Project Register'!E256,'Project Register'!F256,"0000110",Holidays_Leave!$A$3:$A$62))))</f>
        <v/>
      </c>
      <c r="D256" s="15" t="str">
        <f aca="false">IF('Project Register'!$A256="","",('Project Register'!H256&lt;&gt;"")+('Project Register'!J256&lt;&gt;"")+('Project Register'!L256&lt;&gt;""))</f>
        <v/>
      </c>
      <c r="E256" s="16" t="str">
        <f aca="false">IF(OR(C256="",D256="",'Project Register'!G256=""),"",IF(OR(C256=0,D256=0),"",'Project Register'!G256/(C256*D256)))</f>
        <v/>
      </c>
      <c r="F256" s="15" t="str">
        <f aca="false">IF('Project Register'!$A256="","",TRIM(IF(OR('Project Register'!E256="",'Project Register'!F256=""),"Missing date. ","")&amp;IF(AND('Project Register'!E256&lt;&gt;"",'Project Register'!F256&lt;&gt;"",'Project Register'!F256&lt;'Project Register'!E256),"End before start. ","")&amp;IF(NOT(ISNUMBER('Project Register'!G256)),"Effort missing. ","")&amp;IF(D256=0,"No resource. ","")&amp;IF(AND('Project Register'!H256&lt;&gt;"",'Project Register'!I256=""),"Role 1 missing. ","")&amp;IF(AND('Project Register'!J256&lt;&gt;"",'Project Register'!K256=""),"Role 2 missing. ","")&amp;IF(AND('Project Register'!L256&lt;&gt;"",'Project Register'!M256=""),"Role 3 missing. ","")&amp;IF(OR(AND('Project Register'!H256&lt;&gt;"",'Project Register'!H256='Project Register'!J256),AND('Project Register'!H256&lt;&gt;"",'Project Register'!H256='Project Register'!L256),AND('Project Register'!J256&lt;&gt;"",'Project Register'!J256='Project Register'!L256)),"Same person listed twice. ","")&amp;IF(AND('Project Register'!H256&lt;&gt;"",COUNTIF(Resources!$A$2:$A$51,'Project Register'!H256)=0),"Resource 1 not in Resources sheet. ","")&amp;IF(AND('Project Register'!J256&lt;&gt;"",COUNTIF(Resources!$A$2:$A$51,'Project Register'!J256)=0),"Resource 2 not in Resources sheet. ","")&amp;IF(AND('Project Register'!L256&lt;&gt;"",COUNTIF(Resources!$A$2:$A$51,'Project Register'!L256)=0),"Resource 3 not in Resources sheet. ","")&amp;IF('Project Register'!O256="","Test Status missing. ","")&amp;IF(AND(ISNUMBER(E256),E256&gt;1),"This task alone needs over 100% per person. ","")&amp;IF(AND('Project Register'!Q256="Deployed in Live",'Project Register'!R256=""),"Release Date blank (import date will be used). ","")))</f>
        <v/>
      </c>
      <c r="G256" s="17" t="str">
        <f aca="false">IF('Project Register'!$A256="","",IF(F256="","OK","Check"))</f>
        <v/>
      </c>
    </row>
    <row r="257" customFormat="false" ht="15" hidden="false" customHeight="false" outlineLevel="0" collapsed="false">
      <c r="A257" s="15" t="str">
        <f aca="false">IF('Project Register'!$A257="","",ROW('Project Register'!A257))</f>
        <v/>
      </c>
      <c r="B257" s="15" t="str">
        <f aca="false">IF('Project Register'!$A257="","",'Project Register'!B257)</f>
        <v/>
      </c>
      <c r="C257" s="15" t="str">
        <f aca="false">IF('Project Register'!$A257="","",IF(OR('Project Register'!E257="",'Project Register'!F257=""),"",IF('Project Register'!F257&lt;'Project Register'!E257,0,NETWORKDAYS.INTL('Project Register'!E257,'Project Register'!F257,"0000110",Holidays_Leave!$A$3:$A$62))))</f>
        <v/>
      </c>
      <c r="D257" s="15" t="str">
        <f aca="false">IF('Project Register'!$A257="","",('Project Register'!H257&lt;&gt;"")+('Project Register'!J257&lt;&gt;"")+('Project Register'!L257&lt;&gt;""))</f>
        <v/>
      </c>
      <c r="E257" s="16" t="str">
        <f aca="false">IF(OR(C257="",D257="",'Project Register'!G257=""),"",IF(OR(C257=0,D257=0),"",'Project Register'!G257/(C257*D257)))</f>
        <v/>
      </c>
      <c r="F257" s="15" t="str">
        <f aca="false">IF('Project Register'!$A257="","",TRIM(IF(OR('Project Register'!E257="",'Project Register'!F257=""),"Missing date. ","")&amp;IF(AND('Project Register'!E257&lt;&gt;"",'Project Register'!F257&lt;&gt;"",'Project Register'!F257&lt;'Project Register'!E257),"End before start. ","")&amp;IF(NOT(ISNUMBER('Project Register'!G257)),"Effort missing. ","")&amp;IF(D257=0,"No resource. ","")&amp;IF(AND('Project Register'!H257&lt;&gt;"",'Project Register'!I257=""),"Role 1 missing. ","")&amp;IF(AND('Project Register'!J257&lt;&gt;"",'Project Register'!K257=""),"Role 2 missing. ","")&amp;IF(AND('Project Register'!L257&lt;&gt;"",'Project Register'!M257=""),"Role 3 missing. ","")&amp;IF(OR(AND('Project Register'!H257&lt;&gt;"",'Project Register'!H257='Project Register'!J257),AND('Project Register'!H257&lt;&gt;"",'Project Register'!H257='Project Register'!L257),AND('Project Register'!J257&lt;&gt;"",'Project Register'!J257='Project Register'!L257)),"Same person listed twice. ","")&amp;IF(AND('Project Register'!H257&lt;&gt;"",COUNTIF(Resources!$A$2:$A$51,'Project Register'!H257)=0),"Resource 1 not in Resources sheet. ","")&amp;IF(AND('Project Register'!J257&lt;&gt;"",COUNTIF(Resources!$A$2:$A$51,'Project Register'!J257)=0),"Resource 2 not in Resources sheet. ","")&amp;IF(AND('Project Register'!L257&lt;&gt;"",COUNTIF(Resources!$A$2:$A$51,'Project Register'!L257)=0),"Resource 3 not in Resources sheet. ","")&amp;IF('Project Register'!O257="","Test Status missing. ","")&amp;IF(AND(ISNUMBER(E257),E257&gt;1),"This task alone needs over 100% per person. ","")&amp;IF(AND('Project Register'!Q257="Deployed in Live",'Project Register'!R257=""),"Release Date blank (import date will be used). ","")))</f>
        <v/>
      </c>
      <c r="G257" s="17" t="str">
        <f aca="false">IF('Project Register'!$A257="","",IF(F257="","OK","Check"))</f>
        <v/>
      </c>
    </row>
    <row r="258" customFormat="false" ht="15" hidden="false" customHeight="false" outlineLevel="0" collapsed="false">
      <c r="A258" s="15" t="str">
        <f aca="false">IF('Project Register'!$A258="","",ROW('Project Register'!A258))</f>
        <v/>
      </c>
      <c r="B258" s="15" t="str">
        <f aca="false">IF('Project Register'!$A258="","",'Project Register'!B258)</f>
        <v/>
      </c>
      <c r="C258" s="15" t="str">
        <f aca="false">IF('Project Register'!$A258="","",IF(OR('Project Register'!E258="",'Project Register'!F258=""),"",IF('Project Register'!F258&lt;'Project Register'!E258,0,NETWORKDAYS.INTL('Project Register'!E258,'Project Register'!F258,"0000110",Holidays_Leave!$A$3:$A$62))))</f>
        <v/>
      </c>
      <c r="D258" s="15" t="str">
        <f aca="false">IF('Project Register'!$A258="","",('Project Register'!H258&lt;&gt;"")+('Project Register'!J258&lt;&gt;"")+('Project Register'!L258&lt;&gt;""))</f>
        <v/>
      </c>
      <c r="E258" s="16" t="str">
        <f aca="false">IF(OR(C258="",D258="",'Project Register'!G258=""),"",IF(OR(C258=0,D258=0),"",'Project Register'!G258/(C258*D258)))</f>
        <v/>
      </c>
      <c r="F258" s="15" t="str">
        <f aca="false">IF('Project Register'!$A258="","",TRIM(IF(OR('Project Register'!E258="",'Project Register'!F258=""),"Missing date. ","")&amp;IF(AND('Project Register'!E258&lt;&gt;"",'Project Register'!F258&lt;&gt;"",'Project Register'!F258&lt;'Project Register'!E258),"End before start. ","")&amp;IF(NOT(ISNUMBER('Project Register'!G258)),"Effort missing. ","")&amp;IF(D258=0,"No resource. ","")&amp;IF(AND('Project Register'!H258&lt;&gt;"",'Project Register'!I258=""),"Role 1 missing. ","")&amp;IF(AND('Project Register'!J258&lt;&gt;"",'Project Register'!K258=""),"Role 2 missing. ","")&amp;IF(AND('Project Register'!L258&lt;&gt;"",'Project Register'!M258=""),"Role 3 missing. ","")&amp;IF(OR(AND('Project Register'!H258&lt;&gt;"",'Project Register'!H258='Project Register'!J258),AND('Project Register'!H258&lt;&gt;"",'Project Register'!H258='Project Register'!L258),AND('Project Register'!J258&lt;&gt;"",'Project Register'!J258='Project Register'!L258)),"Same person listed twice. ","")&amp;IF(AND('Project Register'!H258&lt;&gt;"",COUNTIF(Resources!$A$2:$A$51,'Project Register'!H258)=0),"Resource 1 not in Resources sheet. ","")&amp;IF(AND('Project Register'!J258&lt;&gt;"",COUNTIF(Resources!$A$2:$A$51,'Project Register'!J258)=0),"Resource 2 not in Resources sheet. ","")&amp;IF(AND('Project Register'!L258&lt;&gt;"",COUNTIF(Resources!$A$2:$A$51,'Project Register'!L258)=0),"Resource 3 not in Resources sheet. ","")&amp;IF('Project Register'!O258="","Test Status missing. ","")&amp;IF(AND(ISNUMBER(E258),E258&gt;1),"This task alone needs over 100% per person. ","")&amp;IF(AND('Project Register'!Q258="Deployed in Live",'Project Register'!R258=""),"Release Date blank (import date will be used). ","")))</f>
        <v/>
      </c>
      <c r="G258" s="17" t="str">
        <f aca="false">IF('Project Register'!$A258="","",IF(F258="","OK","Check"))</f>
        <v/>
      </c>
    </row>
    <row r="259" customFormat="false" ht="15" hidden="false" customHeight="false" outlineLevel="0" collapsed="false">
      <c r="A259" s="15" t="str">
        <f aca="false">IF('Project Register'!$A259="","",ROW('Project Register'!A259))</f>
        <v/>
      </c>
      <c r="B259" s="15" t="str">
        <f aca="false">IF('Project Register'!$A259="","",'Project Register'!B259)</f>
        <v/>
      </c>
      <c r="C259" s="15" t="str">
        <f aca="false">IF('Project Register'!$A259="","",IF(OR('Project Register'!E259="",'Project Register'!F259=""),"",IF('Project Register'!F259&lt;'Project Register'!E259,0,NETWORKDAYS.INTL('Project Register'!E259,'Project Register'!F259,"0000110",Holidays_Leave!$A$3:$A$62))))</f>
        <v/>
      </c>
      <c r="D259" s="15" t="str">
        <f aca="false">IF('Project Register'!$A259="","",('Project Register'!H259&lt;&gt;"")+('Project Register'!J259&lt;&gt;"")+('Project Register'!L259&lt;&gt;""))</f>
        <v/>
      </c>
      <c r="E259" s="16" t="str">
        <f aca="false">IF(OR(C259="",D259="",'Project Register'!G259=""),"",IF(OR(C259=0,D259=0),"",'Project Register'!G259/(C259*D259)))</f>
        <v/>
      </c>
      <c r="F259" s="15" t="str">
        <f aca="false">IF('Project Register'!$A259="","",TRIM(IF(OR('Project Register'!E259="",'Project Register'!F259=""),"Missing date. ","")&amp;IF(AND('Project Register'!E259&lt;&gt;"",'Project Register'!F259&lt;&gt;"",'Project Register'!F259&lt;'Project Register'!E259),"End before start. ","")&amp;IF(NOT(ISNUMBER('Project Register'!G259)),"Effort missing. ","")&amp;IF(D259=0,"No resource. ","")&amp;IF(AND('Project Register'!H259&lt;&gt;"",'Project Register'!I259=""),"Role 1 missing. ","")&amp;IF(AND('Project Register'!J259&lt;&gt;"",'Project Register'!K259=""),"Role 2 missing. ","")&amp;IF(AND('Project Register'!L259&lt;&gt;"",'Project Register'!M259=""),"Role 3 missing. ","")&amp;IF(OR(AND('Project Register'!H259&lt;&gt;"",'Project Register'!H259='Project Register'!J259),AND('Project Register'!H259&lt;&gt;"",'Project Register'!H259='Project Register'!L259),AND('Project Register'!J259&lt;&gt;"",'Project Register'!J259='Project Register'!L259)),"Same person listed twice. ","")&amp;IF(AND('Project Register'!H259&lt;&gt;"",COUNTIF(Resources!$A$2:$A$51,'Project Register'!H259)=0),"Resource 1 not in Resources sheet. ","")&amp;IF(AND('Project Register'!J259&lt;&gt;"",COUNTIF(Resources!$A$2:$A$51,'Project Register'!J259)=0),"Resource 2 not in Resources sheet. ","")&amp;IF(AND('Project Register'!L259&lt;&gt;"",COUNTIF(Resources!$A$2:$A$51,'Project Register'!L259)=0),"Resource 3 not in Resources sheet. ","")&amp;IF('Project Register'!O259="","Test Status missing. ","")&amp;IF(AND(ISNUMBER(E259),E259&gt;1),"This task alone needs over 100% per person. ","")&amp;IF(AND('Project Register'!Q259="Deployed in Live",'Project Register'!R259=""),"Release Date blank (import date will be used). ","")))</f>
        <v/>
      </c>
      <c r="G259" s="17" t="str">
        <f aca="false">IF('Project Register'!$A259="","",IF(F259="","OK","Check"))</f>
        <v/>
      </c>
    </row>
    <row r="260" customFormat="false" ht="15" hidden="false" customHeight="false" outlineLevel="0" collapsed="false">
      <c r="A260" s="15" t="str">
        <f aca="false">IF('Project Register'!$A260="","",ROW('Project Register'!A260))</f>
        <v/>
      </c>
      <c r="B260" s="15" t="str">
        <f aca="false">IF('Project Register'!$A260="","",'Project Register'!B260)</f>
        <v/>
      </c>
      <c r="C260" s="15" t="str">
        <f aca="false">IF('Project Register'!$A260="","",IF(OR('Project Register'!E260="",'Project Register'!F260=""),"",IF('Project Register'!F260&lt;'Project Register'!E260,0,NETWORKDAYS.INTL('Project Register'!E260,'Project Register'!F260,"0000110",Holidays_Leave!$A$3:$A$62))))</f>
        <v/>
      </c>
      <c r="D260" s="15" t="str">
        <f aca="false">IF('Project Register'!$A260="","",('Project Register'!H260&lt;&gt;"")+('Project Register'!J260&lt;&gt;"")+('Project Register'!L260&lt;&gt;""))</f>
        <v/>
      </c>
      <c r="E260" s="16" t="str">
        <f aca="false">IF(OR(C260="",D260="",'Project Register'!G260=""),"",IF(OR(C260=0,D260=0),"",'Project Register'!G260/(C260*D260)))</f>
        <v/>
      </c>
      <c r="F260" s="15" t="str">
        <f aca="false">IF('Project Register'!$A260="","",TRIM(IF(OR('Project Register'!E260="",'Project Register'!F260=""),"Missing date. ","")&amp;IF(AND('Project Register'!E260&lt;&gt;"",'Project Register'!F260&lt;&gt;"",'Project Register'!F260&lt;'Project Register'!E260),"End before start. ","")&amp;IF(NOT(ISNUMBER('Project Register'!G260)),"Effort missing. ","")&amp;IF(D260=0,"No resource. ","")&amp;IF(AND('Project Register'!H260&lt;&gt;"",'Project Register'!I260=""),"Role 1 missing. ","")&amp;IF(AND('Project Register'!J260&lt;&gt;"",'Project Register'!K260=""),"Role 2 missing. ","")&amp;IF(AND('Project Register'!L260&lt;&gt;"",'Project Register'!M260=""),"Role 3 missing. ","")&amp;IF(OR(AND('Project Register'!H260&lt;&gt;"",'Project Register'!H260='Project Register'!J260),AND('Project Register'!H260&lt;&gt;"",'Project Register'!H260='Project Register'!L260),AND('Project Register'!J260&lt;&gt;"",'Project Register'!J260='Project Register'!L260)),"Same person listed twice. ","")&amp;IF(AND('Project Register'!H260&lt;&gt;"",COUNTIF(Resources!$A$2:$A$51,'Project Register'!H260)=0),"Resource 1 not in Resources sheet. ","")&amp;IF(AND('Project Register'!J260&lt;&gt;"",COUNTIF(Resources!$A$2:$A$51,'Project Register'!J260)=0),"Resource 2 not in Resources sheet. ","")&amp;IF(AND('Project Register'!L260&lt;&gt;"",COUNTIF(Resources!$A$2:$A$51,'Project Register'!L260)=0),"Resource 3 not in Resources sheet. ","")&amp;IF('Project Register'!O260="","Test Status missing. ","")&amp;IF(AND(ISNUMBER(E260),E260&gt;1),"This task alone needs over 100% per person. ","")&amp;IF(AND('Project Register'!Q260="Deployed in Live",'Project Register'!R260=""),"Release Date blank (import date will be used). ","")))</f>
        <v/>
      </c>
      <c r="G260" s="17" t="str">
        <f aca="false">IF('Project Register'!$A260="","",IF(F260="","OK","Check"))</f>
        <v/>
      </c>
    </row>
    <row r="261" customFormat="false" ht="15" hidden="false" customHeight="false" outlineLevel="0" collapsed="false">
      <c r="A261" s="15" t="str">
        <f aca="false">IF('Project Register'!$A261="","",ROW('Project Register'!A261))</f>
        <v/>
      </c>
      <c r="B261" s="15" t="str">
        <f aca="false">IF('Project Register'!$A261="","",'Project Register'!B261)</f>
        <v/>
      </c>
      <c r="C261" s="15" t="str">
        <f aca="false">IF('Project Register'!$A261="","",IF(OR('Project Register'!E261="",'Project Register'!F261=""),"",IF('Project Register'!F261&lt;'Project Register'!E261,0,NETWORKDAYS.INTL('Project Register'!E261,'Project Register'!F261,"0000110",Holidays_Leave!$A$3:$A$62))))</f>
        <v/>
      </c>
      <c r="D261" s="15" t="str">
        <f aca="false">IF('Project Register'!$A261="","",('Project Register'!H261&lt;&gt;"")+('Project Register'!J261&lt;&gt;"")+('Project Register'!L261&lt;&gt;""))</f>
        <v/>
      </c>
      <c r="E261" s="16" t="str">
        <f aca="false">IF(OR(C261="",D261="",'Project Register'!G261=""),"",IF(OR(C261=0,D261=0),"",'Project Register'!G261/(C261*D261)))</f>
        <v/>
      </c>
      <c r="F261" s="15" t="str">
        <f aca="false">IF('Project Register'!$A261="","",TRIM(IF(OR('Project Register'!E261="",'Project Register'!F261=""),"Missing date. ","")&amp;IF(AND('Project Register'!E261&lt;&gt;"",'Project Register'!F261&lt;&gt;"",'Project Register'!F261&lt;'Project Register'!E261),"End before start. ","")&amp;IF(NOT(ISNUMBER('Project Register'!G261)),"Effort missing. ","")&amp;IF(D261=0,"No resource. ","")&amp;IF(AND('Project Register'!H261&lt;&gt;"",'Project Register'!I261=""),"Role 1 missing. ","")&amp;IF(AND('Project Register'!J261&lt;&gt;"",'Project Register'!K261=""),"Role 2 missing. ","")&amp;IF(AND('Project Register'!L261&lt;&gt;"",'Project Register'!M261=""),"Role 3 missing. ","")&amp;IF(OR(AND('Project Register'!H261&lt;&gt;"",'Project Register'!H261='Project Register'!J261),AND('Project Register'!H261&lt;&gt;"",'Project Register'!H261='Project Register'!L261),AND('Project Register'!J261&lt;&gt;"",'Project Register'!J261='Project Register'!L261)),"Same person listed twice. ","")&amp;IF(AND('Project Register'!H261&lt;&gt;"",COUNTIF(Resources!$A$2:$A$51,'Project Register'!H261)=0),"Resource 1 not in Resources sheet. ","")&amp;IF(AND('Project Register'!J261&lt;&gt;"",COUNTIF(Resources!$A$2:$A$51,'Project Register'!J261)=0),"Resource 2 not in Resources sheet. ","")&amp;IF(AND('Project Register'!L261&lt;&gt;"",COUNTIF(Resources!$A$2:$A$51,'Project Register'!L261)=0),"Resource 3 not in Resources sheet. ","")&amp;IF('Project Register'!O261="","Test Status missing. ","")&amp;IF(AND(ISNUMBER(E261),E261&gt;1),"This task alone needs over 100% per person. ","")&amp;IF(AND('Project Register'!Q261="Deployed in Live",'Project Register'!R261=""),"Release Date blank (import date will be used). ","")))</f>
        <v/>
      </c>
      <c r="G261" s="17" t="str">
        <f aca="false">IF('Project Register'!$A261="","",IF(F261="","OK","Check"))</f>
        <v/>
      </c>
    </row>
    <row r="262" customFormat="false" ht="15" hidden="false" customHeight="false" outlineLevel="0" collapsed="false">
      <c r="A262" s="15" t="str">
        <f aca="false">IF('Project Register'!$A262="","",ROW('Project Register'!A262))</f>
        <v/>
      </c>
      <c r="B262" s="15" t="str">
        <f aca="false">IF('Project Register'!$A262="","",'Project Register'!B262)</f>
        <v/>
      </c>
      <c r="C262" s="15" t="str">
        <f aca="false">IF('Project Register'!$A262="","",IF(OR('Project Register'!E262="",'Project Register'!F262=""),"",IF('Project Register'!F262&lt;'Project Register'!E262,0,NETWORKDAYS.INTL('Project Register'!E262,'Project Register'!F262,"0000110",Holidays_Leave!$A$3:$A$62))))</f>
        <v/>
      </c>
      <c r="D262" s="15" t="str">
        <f aca="false">IF('Project Register'!$A262="","",('Project Register'!H262&lt;&gt;"")+('Project Register'!J262&lt;&gt;"")+('Project Register'!L262&lt;&gt;""))</f>
        <v/>
      </c>
      <c r="E262" s="16" t="str">
        <f aca="false">IF(OR(C262="",D262="",'Project Register'!G262=""),"",IF(OR(C262=0,D262=0),"",'Project Register'!G262/(C262*D262)))</f>
        <v/>
      </c>
      <c r="F262" s="15" t="str">
        <f aca="false">IF('Project Register'!$A262="","",TRIM(IF(OR('Project Register'!E262="",'Project Register'!F262=""),"Missing date. ","")&amp;IF(AND('Project Register'!E262&lt;&gt;"",'Project Register'!F262&lt;&gt;"",'Project Register'!F262&lt;'Project Register'!E262),"End before start. ","")&amp;IF(NOT(ISNUMBER('Project Register'!G262)),"Effort missing. ","")&amp;IF(D262=0,"No resource. ","")&amp;IF(AND('Project Register'!H262&lt;&gt;"",'Project Register'!I262=""),"Role 1 missing. ","")&amp;IF(AND('Project Register'!J262&lt;&gt;"",'Project Register'!K262=""),"Role 2 missing. ","")&amp;IF(AND('Project Register'!L262&lt;&gt;"",'Project Register'!M262=""),"Role 3 missing. ","")&amp;IF(OR(AND('Project Register'!H262&lt;&gt;"",'Project Register'!H262='Project Register'!J262),AND('Project Register'!H262&lt;&gt;"",'Project Register'!H262='Project Register'!L262),AND('Project Register'!J262&lt;&gt;"",'Project Register'!J262='Project Register'!L262)),"Same person listed twice. ","")&amp;IF(AND('Project Register'!H262&lt;&gt;"",COUNTIF(Resources!$A$2:$A$51,'Project Register'!H262)=0),"Resource 1 not in Resources sheet. ","")&amp;IF(AND('Project Register'!J262&lt;&gt;"",COUNTIF(Resources!$A$2:$A$51,'Project Register'!J262)=0),"Resource 2 not in Resources sheet. ","")&amp;IF(AND('Project Register'!L262&lt;&gt;"",COUNTIF(Resources!$A$2:$A$51,'Project Register'!L262)=0),"Resource 3 not in Resources sheet. ","")&amp;IF('Project Register'!O262="","Test Status missing. ","")&amp;IF(AND(ISNUMBER(E262),E262&gt;1),"This task alone needs over 100% per person. ","")&amp;IF(AND('Project Register'!Q262="Deployed in Live",'Project Register'!R262=""),"Release Date blank (import date will be used). ","")))</f>
        <v/>
      </c>
      <c r="G262" s="17" t="str">
        <f aca="false">IF('Project Register'!$A262="","",IF(F262="","OK","Check"))</f>
        <v/>
      </c>
    </row>
    <row r="263" customFormat="false" ht="15" hidden="false" customHeight="false" outlineLevel="0" collapsed="false">
      <c r="A263" s="15" t="str">
        <f aca="false">IF('Project Register'!$A263="","",ROW('Project Register'!A263))</f>
        <v/>
      </c>
      <c r="B263" s="15" t="str">
        <f aca="false">IF('Project Register'!$A263="","",'Project Register'!B263)</f>
        <v/>
      </c>
      <c r="C263" s="15" t="str">
        <f aca="false">IF('Project Register'!$A263="","",IF(OR('Project Register'!E263="",'Project Register'!F263=""),"",IF('Project Register'!F263&lt;'Project Register'!E263,0,NETWORKDAYS.INTL('Project Register'!E263,'Project Register'!F263,"0000110",Holidays_Leave!$A$3:$A$62))))</f>
        <v/>
      </c>
      <c r="D263" s="15" t="str">
        <f aca="false">IF('Project Register'!$A263="","",('Project Register'!H263&lt;&gt;"")+('Project Register'!J263&lt;&gt;"")+('Project Register'!L263&lt;&gt;""))</f>
        <v/>
      </c>
      <c r="E263" s="16" t="str">
        <f aca="false">IF(OR(C263="",D263="",'Project Register'!G263=""),"",IF(OR(C263=0,D263=0),"",'Project Register'!G263/(C263*D263)))</f>
        <v/>
      </c>
      <c r="F263" s="15" t="str">
        <f aca="false">IF('Project Register'!$A263="","",TRIM(IF(OR('Project Register'!E263="",'Project Register'!F263=""),"Missing date. ","")&amp;IF(AND('Project Register'!E263&lt;&gt;"",'Project Register'!F263&lt;&gt;"",'Project Register'!F263&lt;'Project Register'!E263),"End before start. ","")&amp;IF(NOT(ISNUMBER('Project Register'!G263)),"Effort missing. ","")&amp;IF(D263=0,"No resource. ","")&amp;IF(AND('Project Register'!H263&lt;&gt;"",'Project Register'!I263=""),"Role 1 missing. ","")&amp;IF(AND('Project Register'!J263&lt;&gt;"",'Project Register'!K263=""),"Role 2 missing. ","")&amp;IF(AND('Project Register'!L263&lt;&gt;"",'Project Register'!M263=""),"Role 3 missing. ","")&amp;IF(OR(AND('Project Register'!H263&lt;&gt;"",'Project Register'!H263='Project Register'!J263),AND('Project Register'!H263&lt;&gt;"",'Project Register'!H263='Project Register'!L263),AND('Project Register'!J263&lt;&gt;"",'Project Register'!J263='Project Register'!L263)),"Same person listed twice. ","")&amp;IF(AND('Project Register'!H263&lt;&gt;"",COUNTIF(Resources!$A$2:$A$51,'Project Register'!H263)=0),"Resource 1 not in Resources sheet. ","")&amp;IF(AND('Project Register'!J263&lt;&gt;"",COUNTIF(Resources!$A$2:$A$51,'Project Register'!J263)=0),"Resource 2 not in Resources sheet. ","")&amp;IF(AND('Project Register'!L263&lt;&gt;"",COUNTIF(Resources!$A$2:$A$51,'Project Register'!L263)=0),"Resource 3 not in Resources sheet. ","")&amp;IF('Project Register'!O263="","Test Status missing. ","")&amp;IF(AND(ISNUMBER(E263),E263&gt;1),"This task alone needs over 100% per person. ","")&amp;IF(AND('Project Register'!Q263="Deployed in Live",'Project Register'!R263=""),"Release Date blank (import date will be used). ","")))</f>
        <v/>
      </c>
      <c r="G263" s="17" t="str">
        <f aca="false">IF('Project Register'!$A263="","",IF(F263="","OK","Check"))</f>
        <v/>
      </c>
    </row>
    <row r="264" customFormat="false" ht="15" hidden="false" customHeight="false" outlineLevel="0" collapsed="false">
      <c r="A264" s="15" t="str">
        <f aca="false">IF('Project Register'!$A264="","",ROW('Project Register'!A264))</f>
        <v/>
      </c>
      <c r="B264" s="15" t="str">
        <f aca="false">IF('Project Register'!$A264="","",'Project Register'!B264)</f>
        <v/>
      </c>
      <c r="C264" s="15" t="str">
        <f aca="false">IF('Project Register'!$A264="","",IF(OR('Project Register'!E264="",'Project Register'!F264=""),"",IF('Project Register'!F264&lt;'Project Register'!E264,0,NETWORKDAYS.INTL('Project Register'!E264,'Project Register'!F264,"0000110",Holidays_Leave!$A$3:$A$62))))</f>
        <v/>
      </c>
      <c r="D264" s="15" t="str">
        <f aca="false">IF('Project Register'!$A264="","",('Project Register'!H264&lt;&gt;"")+('Project Register'!J264&lt;&gt;"")+('Project Register'!L264&lt;&gt;""))</f>
        <v/>
      </c>
      <c r="E264" s="16" t="str">
        <f aca="false">IF(OR(C264="",D264="",'Project Register'!G264=""),"",IF(OR(C264=0,D264=0),"",'Project Register'!G264/(C264*D264)))</f>
        <v/>
      </c>
      <c r="F264" s="15" t="str">
        <f aca="false">IF('Project Register'!$A264="","",TRIM(IF(OR('Project Register'!E264="",'Project Register'!F264=""),"Missing date. ","")&amp;IF(AND('Project Register'!E264&lt;&gt;"",'Project Register'!F264&lt;&gt;"",'Project Register'!F264&lt;'Project Register'!E264),"End before start. ","")&amp;IF(NOT(ISNUMBER('Project Register'!G264)),"Effort missing. ","")&amp;IF(D264=0,"No resource. ","")&amp;IF(AND('Project Register'!H264&lt;&gt;"",'Project Register'!I264=""),"Role 1 missing. ","")&amp;IF(AND('Project Register'!J264&lt;&gt;"",'Project Register'!K264=""),"Role 2 missing. ","")&amp;IF(AND('Project Register'!L264&lt;&gt;"",'Project Register'!M264=""),"Role 3 missing. ","")&amp;IF(OR(AND('Project Register'!H264&lt;&gt;"",'Project Register'!H264='Project Register'!J264),AND('Project Register'!H264&lt;&gt;"",'Project Register'!H264='Project Register'!L264),AND('Project Register'!J264&lt;&gt;"",'Project Register'!J264='Project Register'!L264)),"Same person listed twice. ","")&amp;IF(AND('Project Register'!H264&lt;&gt;"",COUNTIF(Resources!$A$2:$A$51,'Project Register'!H264)=0),"Resource 1 not in Resources sheet. ","")&amp;IF(AND('Project Register'!J264&lt;&gt;"",COUNTIF(Resources!$A$2:$A$51,'Project Register'!J264)=0),"Resource 2 not in Resources sheet. ","")&amp;IF(AND('Project Register'!L264&lt;&gt;"",COUNTIF(Resources!$A$2:$A$51,'Project Register'!L264)=0),"Resource 3 not in Resources sheet. ","")&amp;IF('Project Register'!O264="","Test Status missing. ","")&amp;IF(AND(ISNUMBER(E264),E264&gt;1),"This task alone needs over 100% per person. ","")&amp;IF(AND('Project Register'!Q264="Deployed in Live",'Project Register'!R264=""),"Release Date blank (import date will be used). ","")))</f>
        <v/>
      </c>
      <c r="G264" s="17" t="str">
        <f aca="false">IF('Project Register'!$A264="","",IF(F264="","OK","Check"))</f>
        <v/>
      </c>
    </row>
    <row r="265" customFormat="false" ht="15" hidden="false" customHeight="false" outlineLevel="0" collapsed="false">
      <c r="A265" s="15" t="str">
        <f aca="false">IF('Project Register'!$A265="","",ROW('Project Register'!A265))</f>
        <v/>
      </c>
      <c r="B265" s="15" t="str">
        <f aca="false">IF('Project Register'!$A265="","",'Project Register'!B265)</f>
        <v/>
      </c>
      <c r="C265" s="15" t="str">
        <f aca="false">IF('Project Register'!$A265="","",IF(OR('Project Register'!E265="",'Project Register'!F265=""),"",IF('Project Register'!F265&lt;'Project Register'!E265,0,NETWORKDAYS.INTL('Project Register'!E265,'Project Register'!F265,"0000110",Holidays_Leave!$A$3:$A$62))))</f>
        <v/>
      </c>
      <c r="D265" s="15" t="str">
        <f aca="false">IF('Project Register'!$A265="","",('Project Register'!H265&lt;&gt;"")+('Project Register'!J265&lt;&gt;"")+('Project Register'!L265&lt;&gt;""))</f>
        <v/>
      </c>
      <c r="E265" s="16" t="str">
        <f aca="false">IF(OR(C265="",D265="",'Project Register'!G265=""),"",IF(OR(C265=0,D265=0),"",'Project Register'!G265/(C265*D265)))</f>
        <v/>
      </c>
      <c r="F265" s="15" t="str">
        <f aca="false">IF('Project Register'!$A265="","",TRIM(IF(OR('Project Register'!E265="",'Project Register'!F265=""),"Missing date. ","")&amp;IF(AND('Project Register'!E265&lt;&gt;"",'Project Register'!F265&lt;&gt;"",'Project Register'!F265&lt;'Project Register'!E265),"End before start. ","")&amp;IF(NOT(ISNUMBER('Project Register'!G265)),"Effort missing. ","")&amp;IF(D265=0,"No resource. ","")&amp;IF(AND('Project Register'!H265&lt;&gt;"",'Project Register'!I265=""),"Role 1 missing. ","")&amp;IF(AND('Project Register'!J265&lt;&gt;"",'Project Register'!K265=""),"Role 2 missing. ","")&amp;IF(AND('Project Register'!L265&lt;&gt;"",'Project Register'!M265=""),"Role 3 missing. ","")&amp;IF(OR(AND('Project Register'!H265&lt;&gt;"",'Project Register'!H265='Project Register'!J265),AND('Project Register'!H265&lt;&gt;"",'Project Register'!H265='Project Register'!L265),AND('Project Register'!J265&lt;&gt;"",'Project Register'!J265='Project Register'!L265)),"Same person listed twice. ","")&amp;IF(AND('Project Register'!H265&lt;&gt;"",COUNTIF(Resources!$A$2:$A$51,'Project Register'!H265)=0),"Resource 1 not in Resources sheet. ","")&amp;IF(AND('Project Register'!J265&lt;&gt;"",COUNTIF(Resources!$A$2:$A$51,'Project Register'!J265)=0),"Resource 2 not in Resources sheet. ","")&amp;IF(AND('Project Register'!L265&lt;&gt;"",COUNTIF(Resources!$A$2:$A$51,'Project Register'!L265)=0),"Resource 3 not in Resources sheet. ","")&amp;IF('Project Register'!O265="","Test Status missing. ","")&amp;IF(AND(ISNUMBER(E265),E265&gt;1),"This task alone needs over 100% per person. ","")&amp;IF(AND('Project Register'!Q265="Deployed in Live",'Project Register'!R265=""),"Release Date blank (import date will be used). ","")))</f>
        <v/>
      </c>
      <c r="G265" s="17" t="str">
        <f aca="false">IF('Project Register'!$A265="","",IF(F265="","OK","Check"))</f>
        <v/>
      </c>
    </row>
    <row r="266" customFormat="false" ht="15" hidden="false" customHeight="false" outlineLevel="0" collapsed="false">
      <c r="A266" s="15" t="str">
        <f aca="false">IF('Project Register'!$A266="","",ROW('Project Register'!A266))</f>
        <v/>
      </c>
      <c r="B266" s="15" t="str">
        <f aca="false">IF('Project Register'!$A266="","",'Project Register'!B266)</f>
        <v/>
      </c>
      <c r="C266" s="15" t="str">
        <f aca="false">IF('Project Register'!$A266="","",IF(OR('Project Register'!E266="",'Project Register'!F266=""),"",IF('Project Register'!F266&lt;'Project Register'!E266,0,NETWORKDAYS.INTL('Project Register'!E266,'Project Register'!F266,"0000110",Holidays_Leave!$A$3:$A$62))))</f>
        <v/>
      </c>
      <c r="D266" s="15" t="str">
        <f aca="false">IF('Project Register'!$A266="","",('Project Register'!H266&lt;&gt;"")+('Project Register'!J266&lt;&gt;"")+('Project Register'!L266&lt;&gt;""))</f>
        <v/>
      </c>
      <c r="E266" s="16" t="str">
        <f aca="false">IF(OR(C266="",D266="",'Project Register'!G266=""),"",IF(OR(C266=0,D266=0),"",'Project Register'!G266/(C266*D266)))</f>
        <v/>
      </c>
      <c r="F266" s="15" t="str">
        <f aca="false">IF('Project Register'!$A266="","",TRIM(IF(OR('Project Register'!E266="",'Project Register'!F266=""),"Missing date. ","")&amp;IF(AND('Project Register'!E266&lt;&gt;"",'Project Register'!F266&lt;&gt;"",'Project Register'!F266&lt;'Project Register'!E266),"End before start. ","")&amp;IF(NOT(ISNUMBER('Project Register'!G266)),"Effort missing. ","")&amp;IF(D266=0,"No resource. ","")&amp;IF(AND('Project Register'!H266&lt;&gt;"",'Project Register'!I266=""),"Role 1 missing. ","")&amp;IF(AND('Project Register'!J266&lt;&gt;"",'Project Register'!K266=""),"Role 2 missing. ","")&amp;IF(AND('Project Register'!L266&lt;&gt;"",'Project Register'!M266=""),"Role 3 missing. ","")&amp;IF(OR(AND('Project Register'!H266&lt;&gt;"",'Project Register'!H266='Project Register'!J266),AND('Project Register'!H266&lt;&gt;"",'Project Register'!H266='Project Register'!L266),AND('Project Register'!J266&lt;&gt;"",'Project Register'!J266='Project Register'!L266)),"Same person listed twice. ","")&amp;IF(AND('Project Register'!H266&lt;&gt;"",COUNTIF(Resources!$A$2:$A$51,'Project Register'!H266)=0),"Resource 1 not in Resources sheet. ","")&amp;IF(AND('Project Register'!J266&lt;&gt;"",COUNTIF(Resources!$A$2:$A$51,'Project Register'!J266)=0),"Resource 2 not in Resources sheet. ","")&amp;IF(AND('Project Register'!L266&lt;&gt;"",COUNTIF(Resources!$A$2:$A$51,'Project Register'!L266)=0),"Resource 3 not in Resources sheet. ","")&amp;IF('Project Register'!O266="","Test Status missing. ","")&amp;IF(AND(ISNUMBER(E266),E266&gt;1),"This task alone needs over 100% per person. ","")&amp;IF(AND('Project Register'!Q266="Deployed in Live",'Project Register'!R266=""),"Release Date blank (import date will be used). ","")))</f>
        <v/>
      </c>
      <c r="G266" s="17" t="str">
        <f aca="false">IF('Project Register'!$A266="","",IF(F266="","OK","Check"))</f>
        <v/>
      </c>
    </row>
    <row r="267" customFormat="false" ht="15" hidden="false" customHeight="false" outlineLevel="0" collapsed="false">
      <c r="A267" s="15" t="str">
        <f aca="false">IF('Project Register'!$A267="","",ROW('Project Register'!A267))</f>
        <v/>
      </c>
      <c r="B267" s="15" t="str">
        <f aca="false">IF('Project Register'!$A267="","",'Project Register'!B267)</f>
        <v/>
      </c>
      <c r="C267" s="15" t="str">
        <f aca="false">IF('Project Register'!$A267="","",IF(OR('Project Register'!E267="",'Project Register'!F267=""),"",IF('Project Register'!F267&lt;'Project Register'!E267,0,NETWORKDAYS.INTL('Project Register'!E267,'Project Register'!F267,"0000110",Holidays_Leave!$A$3:$A$62))))</f>
        <v/>
      </c>
      <c r="D267" s="15" t="str">
        <f aca="false">IF('Project Register'!$A267="","",('Project Register'!H267&lt;&gt;"")+('Project Register'!J267&lt;&gt;"")+('Project Register'!L267&lt;&gt;""))</f>
        <v/>
      </c>
      <c r="E267" s="16" t="str">
        <f aca="false">IF(OR(C267="",D267="",'Project Register'!G267=""),"",IF(OR(C267=0,D267=0),"",'Project Register'!G267/(C267*D267)))</f>
        <v/>
      </c>
      <c r="F267" s="15" t="str">
        <f aca="false">IF('Project Register'!$A267="","",TRIM(IF(OR('Project Register'!E267="",'Project Register'!F267=""),"Missing date. ","")&amp;IF(AND('Project Register'!E267&lt;&gt;"",'Project Register'!F267&lt;&gt;"",'Project Register'!F267&lt;'Project Register'!E267),"End before start. ","")&amp;IF(NOT(ISNUMBER('Project Register'!G267)),"Effort missing. ","")&amp;IF(D267=0,"No resource. ","")&amp;IF(AND('Project Register'!H267&lt;&gt;"",'Project Register'!I267=""),"Role 1 missing. ","")&amp;IF(AND('Project Register'!J267&lt;&gt;"",'Project Register'!K267=""),"Role 2 missing. ","")&amp;IF(AND('Project Register'!L267&lt;&gt;"",'Project Register'!M267=""),"Role 3 missing. ","")&amp;IF(OR(AND('Project Register'!H267&lt;&gt;"",'Project Register'!H267='Project Register'!J267),AND('Project Register'!H267&lt;&gt;"",'Project Register'!H267='Project Register'!L267),AND('Project Register'!J267&lt;&gt;"",'Project Register'!J267='Project Register'!L267)),"Same person listed twice. ","")&amp;IF(AND('Project Register'!H267&lt;&gt;"",COUNTIF(Resources!$A$2:$A$51,'Project Register'!H267)=0),"Resource 1 not in Resources sheet. ","")&amp;IF(AND('Project Register'!J267&lt;&gt;"",COUNTIF(Resources!$A$2:$A$51,'Project Register'!J267)=0),"Resource 2 not in Resources sheet. ","")&amp;IF(AND('Project Register'!L267&lt;&gt;"",COUNTIF(Resources!$A$2:$A$51,'Project Register'!L267)=0),"Resource 3 not in Resources sheet. ","")&amp;IF('Project Register'!O267="","Test Status missing. ","")&amp;IF(AND(ISNUMBER(E267),E267&gt;1),"This task alone needs over 100% per person. ","")&amp;IF(AND('Project Register'!Q267="Deployed in Live",'Project Register'!R267=""),"Release Date blank (import date will be used). ","")))</f>
        <v/>
      </c>
      <c r="G267" s="17" t="str">
        <f aca="false">IF('Project Register'!$A267="","",IF(F267="","OK","Check"))</f>
        <v/>
      </c>
    </row>
    <row r="268" customFormat="false" ht="15" hidden="false" customHeight="false" outlineLevel="0" collapsed="false">
      <c r="A268" s="15" t="str">
        <f aca="false">IF('Project Register'!$A268="","",ROW('Project Register'!A268))</f>
        <v/>
      </c>
      <c r="B268" s="15" t="str">
        <f aca="false">IF('Project Register'!$A268="","",'Project Register'!B268)</f>
        <v/>
      </c>
      <c r="C268" s="15" t="str">
        <f aca="false">IF('Project Register'!$A268="","",IF(OR('Project Register'!E268="",'Project Register'!F268=""),"",IF('Project Register'!F268&lt;'Project Register'!E268,0,NETWORKDAYS.INTL('Project Register'!E268,'Project Register'!F268,"0000110",Holidays_Leave!$A$3:$A$62))))</f>
        <v/>
      </c>
      <c r="D268" s="15" t="str">
        <f aca="false">IF('Project Register'!$A268="","",('Project Register'!H268&lt;&gt;"")+('Project Register'!J268&lt;&gt;"")+('Project Register'!L268&lt;&gt;""))</f>
        <v/>
      </c>
      <c r="E268" s="16" t="str">
        <f aca="false">IF(OR(C268="",D268="",'Project Register'!G268=""),"",IF(OR(C268=0,D268=0),"",'Project Register'!G268/(C268*D268)))</f>
        <v/>
      </c>
      <c r="F268" s="15" t="str">
        <f aca="false">IF('Project Register'!$A268="","",TRIM(IF(OR('Project Register'!E268="",'Project Register'!F268=""),"Missing date. ","")&amp;IF(AND('Project Register'!E268&lt;&gt;"",'Project Register'!F268&lt;&gt;"",'Project Register'!F268&lt;'Project Register'!E268),"End before start. ","")&amp;IF(NOT(ISNUMBER('Project Register'!G268)),"Effort missing. ","")&amp;IF(D268=0,"No resource. ","")&amp;IF(AND('Project Register'!H268&lt;&gt;"",'Project Register'!I268=""),"Role 1 missing. ","")&amp;IF(AND('Project Register'!J268&lt;&gt;"",'Project Register'!K268=""),"Role 2 missing. ","")&amp;IF(AND('Project Register'!L268&lt;&gt;"",'Project Register'!M268=""),"Role 3 missing. ","")&amp;IF(OR(AND('Project Register'!H268&lt;&gt;"",'Project Register'!H268='Project Register'!J268),AND('Project Register'!H268&lt;&gt;"",'Project Register'!H268='Project Register'!L268),AND('Project Register'!J268&lt;&gt;"",'Project Register'!J268='Project Register'!L268)),"Same person listed twice. ","")&amp;IF(AND('Project Register'!H268&lt;&gt;"",COUNTIF(Resources!$A$2:$A$51,'Project Register'!H268)=0),"Resource 1 not in Resources sheet. ","")&amp;IF(AND('Project Register'!J268&lt;&gt;"",COUNTIF(Resources!$A$2:$A$51,'Project Register'!J268)=0),"Resource 2 not in Resources sheet. ","")&amp;IF(AND('Project Register'!L268&lt;&gt;"",COUNTIF(Resources!$A$2:$A$51,'Project Register'!L268)=0),"Resource 3 not in Resources sheet. ","")&amp;IF('Project Register'!O268="","Test Status missing. ","")&amp;IF(AND(ISNUMBER(E268),E268&gt;1),"This task alone needs over 100% per person. ","")&amp;IF(AND('Project Register'!Q268="Deployed in Live",'Project Register'!R268=""),"Release Date blank (import date will be used). ","")))</f>
        <v/>
      </c>
      <c r="G268" s="17" t="str">
        <f aca="false">IF('Project Register'!$A268="","",IF(F268="","OK","Check"))</f>
        <v/>
      </c>
    </row>
    <row r="269" customFormat="false" ht="15" hidden="false" customHeight="false" outlineLevel="0" collapsed="false">
      <c r="A269" s="15" t="str">
        <f aca="false">IF('Project Register'!$A269="","",ROW('Project Register'!A269))</f>
        <v/>
      </c>
      <c r="B269" s="15" t="str">
        <f aca="false">IF('Project Register'!$A269="","",'Project Register'!B269)</f>
        <v/>
      </c>
      <c r="C269" s="15" t="str">
        <f aca="false">IF('Project Register'!$A269="","",IF(OR('Project Register'!E269="",'Project Register'!F269=""),"",IF('Project Register'!F269&lt;'Project Register'!E269,0,NETWORKDAYS.INTL('Project Register'!E269,'Project Register'!F269,"0000110",Holidays_Leave!$A$3:$A$62))))</f>
        <v/>
      </c>
      <c r="D269" s="15" t="str">
        <f aca="false">IF('Project Register'!$A269="","",('Project Register'!H269&lt;&gt;"")+('Project Register'!J269&lt;&gt;"")+('Project Register'!L269&lt;&gt;""))</f>
        <v/>
      </c>
      <c r="E269" s="16" t="str">
        <f aca="false">IF(OR(C269="",D269="",'Project Register'!G269=""),"",IF(OR(C269=0,D269=0),"",'Project Register'!G269/(C269*D269)))</f>
        <v/>
      </c>
      <c r="F269" s="15" t="str">
        <f aca="false">IF('Project Register'!$A269="","",TRIM(IF(OR('Project Register'!E269="",'Project Register'!F269=""),"Missing date. ","")&amp;IF(AND('Project Register'!E269&lt;&gt;"",'Project Register'!F269&lt;&gt;"",'Project Register'!F269&lt;'Project Register'!E269),"End before start. ","")&amp;IF(NOT(ISNUMBER('Project Register'!G269)),"Effort missing. ","")&amp;IF(D269=0,"No resource. ","")&amp;IF(AND('Project Register'!H269&lt;&gt;"",'Project Register'!I269=""),"Role 1 missing. ","")&amp;IF(AND('Project Register'!J269&lt;&gt;"",'Project Register'!K269=""),"Role 2 missing. ","")&amp;IF(AND('Project Register'!L269&lt;&gt;"",'Project Register'!M269=""),"Role 3 missing. ","")&amp;IF(OR(AND('Project Register'!H269&lt;&gt;"",'Project Register'!H269='Project Register'!J269),AND('Project Register'!H269&lt;&gt;"",'Project Register'!H269='Project Register'!L269),AND('Project Register'!J269&lt;&gt;"",'Project Register'!J269='Project Register'!L269)),"Same person listed twice. ","")&amp;IF(AND('Project Register'!H269&lt;&gt;"",COUNTIF(Resources!$A$2:$A$51,'Project Register'!H269)=0),"Resource 1 not in Resources sheet. ","")&amp;IF(AND('Project Register'!J269&lt;&gt;"",COUNTIF(Resources!$A$2:$A$51,'Project Register'!J269)=0),"Resource 2 not in Resources sheet. ","")&amp;IF(AND('Project Register'!L269&lt;&gt;"",COUNTIF(Resources!$A$2:$A$51,'Project Register'!L269)=0),"Resource 3 not in Resources sheet. ","")&amp;IF('Project Register'!O269="","Test Status missing. ","")&amp;IF(AND(ISNUMBER(E269),E269&gt;1),"This task alone needs over 100% per person. ","")&amp;IF(AND('Project Register'!Q269="Deployed in Live",'Project Register'!R269=""),"Release Date blank (import date will be used). ","")))</f>
        <v/>
      </c>
      <c r="G269" s="17" t="str">
        <f aca="false">IF('Project Register'!$A269="","",IF(F269="","OK","Check"))</f>
        <v/>
      </c>
    </row>
    <row r="270" customFormat="false" ht="15" hidden="false" customHeight="false" outlineLevel="0" collapsed="false">
      <c r="A270" s="15" t="str">
        <f aca="false">IF('Project Register'!$A270="","",ROW('Project Register'!A270))</f>
        <v/>
      </c>
      <c r="B270" s="15" t="str">
        <f aca="false">IF('Project Register'!$A270="","",'Project Register'!B270)</f>
        <v/>
      </c>
      <c r="C270" s="15" t="str">
        <f aca="false">IF('Project Register'!$A270="","",IF(OR('Project Register'!E270="",'Project Register'!F270=""),"",IF('Project Register'!F270&lt;'Project Register'!E270,0,NETWORKDAYS.INTL('Project Register'!E270,'Project Register'!F270,"0000110",Holidays_Leave!$A$3:$A$62))))</f>
        <v/>
      </c>
      <c r="D270" s="15" t="str">
        <f aca="false">IF('Project Register'!$A270="","",('Project Register'!H270&lt;&gt;"")+('Project Register'!J270&lt;&gt;"")+('Project Register'!L270&lt;&gt;""))</f>
        <v/>
      </c>
      <c r="E270" s="16" t="str">
        <f aca="false">IF(OR(C270="",D270="",'Project Register'!G270=""),"",IF(OR(C270=0,D270=0),"",'Project Register'!G270/(C270*D270)))</f>
        <v/>
      </c>
      <c r="F270" s="15" t="str">
        <f aca="false">IF('Project Register'!$A270="","",TRIM(IF(OR('Project Register'!E270="",'Project Register'!F270=""),"Missing date. ","")&amp;IF(AND('Project Register'!E270&lt;&gt;"",'Project Register'!F270&lt;&gt;"",'Project Register'!F270&lt;'Project Register'!E270),"End before start. ","")&amp;IF(NOT(ISNUMBER('Project Register'!G270)),"Effort missing. ","")&amp;IF(D270=0,"No resource. ","")&amp;IF(AND('Project Register'!H270&lt;&gt;"",'Project Register'!I270=""),"Role 1 missing. ","")&amp;IF(AND('Project Register'!J270&lt;&gt;"",'Project Register'!K270=""),"Role 2 missing. ","")&amp;IF(AND('Project Register'!L270&lt;&gt;"",'Project Register'!M270=""),"Role 3 missing. ","")&amp;IF(OR(AND('Project Register'!H270&lt;&gt;"",'Project Register'!H270='Project Register'!J270),AND('Project Register'!H270&lt;&gt;"",'Project Register'!H270='Project Register'!L270),AND('Project Register'!J270&lt;&gt;"",'Project Register'!J270='Project Register'!L270)),"Same person listed twice. ","")&amp;IF(AND('Project Register'!H270&lt;&gt;"",COUNTIF(Resources!$A$2:$A$51,'Project Register'!H270)=0),"Resource 1 not in Resources sheet. ","")&amp;IF(AND('Project Register'!J270&lt;&gt;"",COUNTIF(Resources!$A$2:$A$51,'Project Register'!J270)=0),"Resource 2 not in Resources sheet. ","")&amp;IF(AND('Project Register'!L270&lt;&gt;"",COUNTIF(Resources!$A$2:$A$51,'Project Register'!L270)=0),"Resource 3 not in Resources sheet. ","")&amp;IF('Project Register'!O270="","Test Status missing. ","")&amp;IF(AND(ISNUMBER(E270),E270&gt;1),"This task alone needs over 100% per person. ","")&amp;IF(AND('Project Register'!Q270="Deployed in Live",'Project Register'!R270=""),"Release Date blank (import date will be used). ","")))</f>
        <v/>
      </c>
      <c r="G270" s="17" t="str">
        <f aca="false">IF('Project Register'!$A270="","",IF(F270="","OK","Check"))</f>
        <v/>
      </c>
    </row>
    <row r="271" customFormat="false" ht="15" hidden="false" customHeight="false" outlineLevel="0" collapsed="false">
      <c r="A271" s="15" t="str">
        <f aca="false">IF('Project Register'!$A271="","",ROW('Project Register'!A271))</f>
        <v/>
      </c>
      <c r="B271" s="15" t="str">
        <f aca="false">IF('Project Register'!$A271="","",'Project Register'!B271)</f>
        <v/>
      </c>
      <c r="C271" s="15" t="str">
        <f aca="false">IF('Project Register'!$A271="","",IF(OR('Project Register'!E271="",'Project Register'!F271=""),"",IF('Project Register'!F271&lt;'Project Register'!E271,0,NETWORKDAYS.INTL('Project Register'!E271,'Project Register'!F271,"0000110",Holidays_Leave!$A$3:$A$62))))</f>
        <v/>
      </c>
      <c r="D271" s="15" t="str">
        <f aca="false">IF('Project Register'!$A271="","",('Project Register'!H271&lt;&gt;"")+('Project Register'!J271&lt;&gt;"")+('Project Register'!L271&lt;&gt;""))</f>
        <v/>
      </c>
      <c r="E271" s="16" t="str">
        <f aca="false">IF(OR(C271="",D271="",'Project Register'!G271=""),"",IF(OR(C271=0,D271=0),"",'Project Register'!G271/(C271*D271)))</f>
        <v/>
      </c>
      <c r="F271" s="15" t="str">
        <f aca="false">IF('Project Register'!$A271="","",TRIM(IF(OR('Project Register'!E271="",'Project Register'!F271=""),"Missing date. ","")&amp;IF(AND('Project Register'!E271&lt;&gt;"",'Project Register'!F271&lt;&gt;"",'Project Register'!F271&lt;'Project Register'!E271),"End before start. ","")&amp;IF(NOT(ISNUMBER('Project Register'!G271)),"Effort missing. ","")&amp;IF(D271=0,"No resource. ","")&amp;IF(AND('Project Register'!H271&lt;&gt;"",'Project Register'!I271=""),"Role 1 missing. ","")&amp;IF(AND('Project Register'!J271&lt;&gt;"",'Project Register'!K271=""),"Role 2 missing. ","")&amp;IF(AND('Project Register'!L271&lt;&gt;"",'Project Register'!M271=""),"Role 3 missing. ","")&amp;IF(OR(AND('Project Register'!H271&lt;&gt;"",'Project Register'!H271='Project Register'!J271),AND('Project Register'!H271&lt;&gt;"",'Project Register'!H271='Project Register'!L271),AND('Project Register'!J271&lt;&gt;"",'Project Register'!J271='Project Register'!L271)),"Same person listed twice. ","")&amp;IF(AND('Project Register'!H271&lt;&gt;"",COUNTIF(Resources!$A$2:$A$51,'Project Register'!H271)=0),"Resource 1 not in Resources sheet. ","")&amp;IF(AND('Project Register'!J271&lt;&gt;"",COUNTIF(Resources!$A$2:$A$51,'Project Register'!J271)=0),"Resource 2 not in Resources sheet. ","")&amp;IF(AND('Project Register'!L271&lt;&gt;"",COUNTIF(Resources!$A$2:$A$51,'Project Register'!L271)=0),"Resource 3 not in Resources sheet. ","")&amp;IF('Project Register'!O271="","Test Status missing. ","")&amp;IF(AND(ISNUMBER(E271),E271&gt;1),"This task alone needs over 100% per person. ","")&amp;IF(AND('Project Register'!Q271="Deployed in Live",'Project Register'!R271=""),"Release Date blank (import date will be used). ","")))</f>
        <v/>
      </c>
      <c r="G271" s="17" t="str">
        <f aca="false">IF('Project Register'!$A271="","",IF(F271="","OK","Check"))</f>
        <v/>
      </c>
    </row>
    <row r="272" customFormat="false" ht="15" hidden="false" customHeight="false" outlineLevel="0" collapsed="false">
      <c r="A272" s="15" t="str">
        <f aca="false">IF('Project Register'!$A272="","",ROW('Project Register'!A272))</f>
        <v/>
      </c>
      <c r="B272" s="15" t="str">
        <f aca="false">IF('Project Register'!$A272="","",'Project Register'!B272)</f>
        <v/>
      </c>
      <c r="C272" s="15" t="str">
        <f aca="false">IF('Project Register'!$A272="","",IF(OR('Project Register'!E272="",'Project Register'!F272=""),"",IF('Project Register'!F272&lt;'Project Register'!E272,0,NETWORKDAYS.INTL('Project Register'!E272,'Project Register'!F272,"0000110",Holidays_Leave!$A$3:$A$62))))</f>
        <v/>
      </c>
      <c r="D272" s="15" t="str">
        <f aca="false">IF('Project Register'!$A272="","",('Project Register'!H272&lt;&gt;"")+('Project Register'!J272&lt;&gt;"")+('Project Register'!L272&lt;&gt;""))</f>
        <v/>
      </c>
      <c r="E272" s="16" t="str">
        <f aca="false">IF(OR(C272="",D272="",'Project Register'!G272=""),"",IF(OR(C272=0,D272=0),"",'Project Register'!G272/(C272*D272)))</f>
        <v/>
      </c>
      <c r="F272" s="15" t="str">
        <f aca="false">IF('Project Register'!$A272="","",TRIM(IF(OR('Project Register'!E272="",'Project Register'!F272=""),"Missing date. ","")&amp;IF(AND('Project Register'!E272&lt;&gt;"",'Project Register'!F272&lt;&gt;"",'Project Register'!F272&lt;'Project Register'!E272),"End before start. ","")&amp;IF(NOT(ISNUMBER('Project Register'!G272)),"Effort missing. ","")&amp;IF(D272=0,"No resource. ","")&amp;IF(AND('Project Register'!H272&lt;&gt;"",'Project Register'!I272=""),"Role 1 missing. ","")&amp;IF(AND('Project Register'!J272&lt;&gt;"",'Project Register'!K272=""),"Role 2 missing. ","")&amp;IF(AND('Project Register'!L272&lt;&gt;"",'Project Register'!M272=""),"Role 3 missing. ","")&amp;IF(OR(AND('Project Register'!H272&lt;&gt;"",'Project Register'!H272='Project Register'!J272),AND('Project Register'!H272&lt;&gt;"",'Project Register'!H272='Project Register'!L272),AND('Project Register'!J272&lt;&gt;"",'Project Register'!J272='Project Register'!L272)),"Same person listed twice. ","")&amp;IF(AND('Project Register'!H272&lt;&gt;"",COUNTIF(Resources!$A$2:$A$51,'Project Register'!H272)=0),"Resource 1 not in Resources sheet. ","")&amp;IF(AND('Project Register'!J272&lt;&gt;"",COUNTIF(Resources!$A$2:$A$51,'Project Register'!J272)=0),"Resource 2 not in Resources sheet. ","")&amp;IF(AND('Project Register'!L272&lt;&gt;"",COUNTIF(Resources!$A$2:$A$51,'Project Register'!L272)=0),"Resource 3 not in Resources sheet. ","")&amp;IF('Project Register'!O272="","Test Status missing. ","")&amp;IF(AND(ISNUMBER(E272),E272&gt;1),"This task alone needs over 100% per person. ","")&amp;IF(AND('Project Register'!Q272="Deployed in Live",'Project Register'!R272=""),"Release Date blank (import date will be used). ","")))</f>
        <v/>
      </c>
      <c r="G272" s="17" t="str">
        <f aca="false">IF('Project Register'!$A272="","",IF(F272="","OK","Check"))</f>
        <v/>
      </c>
    </row>
    <row r="273" customFormat="false" ht="15" hidden="false" customHeight="false" outlineLevel="0" collapsed="false">
      <c r="A273" s="15" t="str">
        <f aca="false">IF('Project Register'!$A273="","",ROW('Project Register'!A273))</f>
        <v/>
      </c>
      <c r="B273" s="15" t="str">
        <f aca="false">IF('Project Register'!$A273="","",'Project Register'!B273)</f>
        <v/>
      </c>
      <c r="C273" s="15" t="str">
        <f aca="false">IF('Project Register'!$A273="","",IF(OR('Project Register'!E273="",'Project Register'!F273=""),"",IF('Project Register'!F273&lt;'Project Register'!E273,0,NETWORKDAYS.INTL('Project Register'!E273,'Project Register'!F273,"0000110",Holidays_Leave!$A$3:$A$62))))</f>
        <v/>
      </c>
      <c r="D273" s="15" t="str">
        <f aca="false">IF('Project Register'!$A273="","",('Project Register'!H273&lt;&gt;"")+('Project Register'!J273&lt;&gt;"")+('Project Register'!L273&lt;&gt;""))</f>
        <v/>
      </c>
      <c r="E273" s="16" t="str">
        <f aca="false">IF(OR(C273="",D273="",'Project Register'!G273=""),"",IF(OR(C273=0,D273=0),"",'Project Register'!G273/(C273*D273)))</f>
        <v/>
      </c>
      <c r="F273" s="15" t="str">
        <f aca="false">IF('Project Register'!$A273="","",TRIM(IF(OR('Project Register'!E273="",'Project Register'!F273=""),"Missing date. ","")&amp;IF(AND('Project Register'!E273&lt;&gt;"",'Project Register'!F273&lt;&gt;"",'Project Register'!F273&lt;'Project Register'!E273),"End before start. ","")&amp;IF(NOT(ISNUMBER('Project Register'!G273)),"Effort missing. ","")&amp;IF(D273=0,"No resource. ","")&amp;IF(AND('Project Register'!H273&lt;&gt;"",'Project Register'!I273=""),"Role 1 missing. ","")&amp;IF(AND('Project Register'!J273&lt;&gt;"",'Project Register'!K273=""),"Role 2 missing. ","")&amp;IF(AND('Project Register'!L273&lt;&gt;"",'Project Register'!M273=""),"Role 3 missing. ","")&amp;IF(OR(AND('Project Register'!H273&lt;&gt;"",'Project Register'!H273='Project Register'!J273),AND('Project Register'!H273&lt;&gt;"",'Project Register'!H273='Project Register'!L273),AND('Project Register'!J273&lt;&gt;"",'Project Register'!J273='Project Register'!L273)),"Same person listed twice. ","")&amp;IF(AND('Project Register'!H273&lt;&gt;"",COUNTIF(Resources!$A$2:$A$51,'Project Register'!H273)=0),"Resource 1 not in Resources sheet. ","")&amp;IF(AND('Project Register'!J273&lt;&gt;"",COUNTIF(Resources!$A$2:$A$51,'Project Register'!J273)=0),"Resource 2 not in Resources sheet. ","")&amp;IF(AND('Project Register'!L273&lt;&gt;"",COUNTIF(Resources!$A$2:$A$51,'Project Register'!L273)=0),"Resource 3 not in Resources sheet. ","")&amp;IF('Project Register'!O273="","Test Status missing. ","")&amp;IF(AND(ISNUMBER(E273),E273&gt;1),"This task alone needs over 100% per person. ","")&amp;IF(AND('Project Register'!Q273="Deployed in Live",'Project Register'!R273=""),"Release Date blank (import date will be used). ","")))</f>
        <v/>
      </c>
      <c r="G273" s="17" t="str">
        <f aca="false">IF('Project Register'!$A273="","",IF(F273="","OK","Check"))</f>
        <v/>
      </c>
    </row>
    <row r="274" customFormat="false" ht="15" hidden="false" customHeight="false" outlineLevel="0" collapsed="false">
      <c r="A274" s="15" t="str">
        <f aca="false">IF('Project Register'!$A274="","",ROW('Project Register'!A274))</f>
        <v/>
      </c>
      <c r="B274" s="15" t="str">
        <f aca="false">IF('Project Register'!$A274="","",'Project Register'!B274)</f>
        <v/>
      </c>
      <c r="C274" s="15" t="str">
        <f aca="false">IF('Project Register'!$A274="","",IF(OR('Project Register'!E274="",'Project Register'!F274=""),"",IF('Project Register'!F274&lt;'Project Register'!E274,0,NETWORKDAYS.INTL('Project Register'!E274,'Project Register'!F274,"0000110",Holidays_Leave!$A$3:$A$62))))</f>
        <v/>
      </c>
      <c r="D274" s="15" t="str">
        <f aca="false">IF('Project Register'!$A274="","",('Project Register'!H274&lt;&gt;"")+('Project Register'!J274&lt;&gt;"")+('Project Register'!L274&lt;&gt;""))</f>
        <v/>
      </c>
      <c r="E274" s="16" t="str">
        <f aca="false">IF(OR(C274="",D274="",'Project Register'!G274=""),"",IF(OR(C274=0,D274=0),"",'Project Register'!G274/(C274*D274)))</f>
        <v/>
      </c>
      <c r="F274" s="15" t="str">
        <f aca="false">IF('Project Register'!$A274="","",TRIM(IF(OR('Project Register'!E274="",'Project Register'!F274=""),"Missing date. ","")&amp;IF(AND('Project Register'!E274&lt;&gt;"",'Project Register'!F274&lt;&gt;"",'Project Register'!F274&lt;'Project Register'!E274),"End before start. ","")&amp;IF(NOT(ISNUMBER('Project Register'!G274)),"Effort missing. ","")&amp;IF(D274=0,"No resource. ","")&amp;IF(AND('Project Register'!H274&lt;&gt;"",'Project Register'!I274=""),"Role 1 missing. ","")&amp;IF(AND('Project Register'!J274&lt;&gt;"",'Project Register'!K274=""),"Role 2 missing. ","")&amp;IF(AND('Project Register'!L274&lt;&gt;"",'Project Register'!M274=""),"Role 3 missing. ","")&amp;IF(OR(AND('Project Register'!H274&lt;&gt;"",'Project Register'!H274='Project Register'!J274),AND('Project Register'!H274&lt;&gt;"",'Project Register'!H274='Project Register'!L274),AND('Project Register'!J274&lt;&gt;"",'Project Register'!J274='Project Register'!L274)),"Same person listed twice. ","")&amp;IF(AND('Project Register'!H274&lt;&gt;"",COUNTIF(Resources!$A$2:$A$51,'Project Register'!H274)=0),"Resource 1 not in Resources sheet. ","")&amp;IF(AND('Project Register'!J274&lt;&gt;"",COUNTIF(Resources!$A$2:$A$51,'Project Register'!J274)=0),"Resource 2 not in Resources sheet. ","")&amp;IF(AND('Project Register'!L274&lt;&gt;"",COUNTIF(Resources!$A$2:$A$51,'Project Register'!L274)=0),"Resource 3 not in Resources sheet. ","")&amp;IF('Project Register'!O274="","Test Status missing. ","")&amp;IF(AND(ISNUMBER(E274),E274&gt;1),"This task alone needs over 100% per person. ","")&amp;IF(AND('Project Register'!Q274="Deployed in Live",'Project Register'!R274=""),"Release Date blank (import date will be used). ","")))</f>
        <v/>
      </c>
      <c r="G274" s="17" t="str">
        <f aca="false">IF('Project Register'!$A274="","",IF(F274="","OK","Check"))</f>
        <v/>
      </c>
    </row>
    <row r="275" customFormat="false" ht="15" hidden="false" customHeight="false" outlineLevel="0" collapsed="false">
      <c r="A275" s="15" t="str">
        <f aca="false">IF('Project Register'!$A275="","",ROW('Project Register'!A275))</f>
        <v/>
      </c>
      <c r="B275" s="15" t="str">
        <f aca="false">IF('Project Register'!$A275="","",'Project Register'!B275)</f>
        <v/>
      </c>
      <c r="C275" s="15" t="str">
        <f aca="false">IF('Project Register'!$A275="","",IF(OR('Project Register'!E275="",'Project Register'!F275=""),"",IF('Project Register'!F275&lt;'Project Register'!E275,0,NETWORKDAYS.INTL('Project Register'!E275,'Project Register'!F275,"0000110",Holidays_Leave!$A$3:$A$62))))</f>
        <v/>
      </c>
      <c r="D275" s="15" t="str">
        <f aca="false">IF('Project Register'!$A275="","",('Project Register'!H275&lt;&gt;"")+('Project Register'!J275&lt;&gt;"")+('Project Register'!L275&lt;&gt;""))</f>
        <v/>
      </c>
      <c r="E275" s="16" t="str">
        <f aca="false">IF(OR(C275="",D275="",'Project Register'!G275=""),"",IF(OR(C275=0,D275=0),"",'Project Register'!G275/(C275*D275)))</f>
        <v/>
      </c>
      <c r="F275" s="15" t="str">
        <f aca="false">IF('Project Register'!$A275="","",TRIM(IF(OR('Project Register'!E275="",'Project Register'!F275=""),"Missing date. ","")&amp;IF(AND('Project Register'!E275&lt;&gt;"",'Project Register'!F275&lt;&gt;"",'Project Register'!F275&lt;'Project Register'!E275),"End before start. ","")&amp;IF(NOT(ISNUMBER('Project Register'!G275)),"Effort missing. ","")&amp;IF(D275=0,"No resource. ","")&amp;IF(AND('Project Register'!H275&lt;&gt;"",'Project Register'!I275=""),"Role 1 missing. ","")&amp;IF(AND('Project Register'!J275&lt;&gt;"",'Project Register'!K275=""),"Role 2 missing. ","")&amp;IF(AND('Project Register'!L275&lt;&gt;"",'Project Register'!M275=""),"Role 3 missing. ","")&amp;IF(OR(AND('Project Register'!H275&lt;&gt;"",'Project Register'!H275='Project Register'!J275),AND('Project Register'!H275&lt;&gt;"",'Project Register'!H275='Project Register'!L275),AND('Project Register'!J275&lt;&gt;"",'Project Register'!J275='Project Register'!L275)),"Same person listed twice. ","")&amp;IF(AND('Project Register'!H275&lt;&gt;"",COUNTIF(Resources!$A$2:$A$51,'Project Register'!H275)=0),"Resource 1 not in Resources sheet. ","")&amp;IF(AND('Project Register'!J275&lt;&gt;"",COUNTIF(Resources!$A$2:$A$51,'Project Register'!J275)=0),"Resource 2 not in Resources sheet. ","")&amp;IF(AND('Project Register'!L275&lt;&gt;"",COUNTIF(Resources!$A$2:$A$51,'Project Register'!L275)=0),"Resource 3 not in Resources sheet. ","")&amp;IF('Project Register'!O275="","Test Status missing. ","")&amp;IF(AND(ISNUMBER(E275),E275&gt;1),"This task alone needs over 100% per person. ","")&amp;IF(AND('Project Register'!Q275="Deployed in Live",'Project Register'!R275=""),"Release Date blank (import date will be used). ","")))</f>
        <v/>
      </c>
      <c r="G275" s="17" t="str">
        <f aca="false">IF('Project Register'!$A275="","",IF(F275="","OK","Check"))</f>
        <v/>
      </c>
    </row>
    <row r="276" customFormat="false" ht="15" hidden="false" customHeight="false" outlineLevel="0" collapsed="false">
      <c r="A276" s="15" t="str">
        <f aca="false">IF('Project Register'!$A276="","",ROW('Project Register'!A276))</f>
        <v/>
      </c>
      <c r="B276" s="15" t="str">
        <f aca="false">IF('Project Register'!$A276="","",'Project Register'!B276)</f>
        <v/>
      </c>
      <c r="C276" s="15" t="str">
        <f aca="false">IF('Project Register'!$A276="","",IF(OR('Project Register'!E276="",'Project Register'!F276=""),"",IF('Project Register'!F276&lt;'Project Register'!E276,0,NETWORKDAYS.INTL('Project Register'!E276,'Project Register'!F276,"0000110",Holidays_Leave!$A$3:$A$62))))</f>
        <v/>
      </c>
      <c r="D276" s="15" t="str">
        <f aca="false">IF('Project Register'!$A276="","",('Project Register'!H276&lt;&gt;"")+('Project Register'!J276&lt;&gt;"")+('Project Register'!L276&lt;&gt;""))</f>
        <v/>
      </c>
      <c r="E276" s="16" t="str">
        <f aca="false">IF(OR(C276="",D276="",'Project Register'!G276=""),"",IF(OR(C276=0,D276=0),"",'Project Register'!G276/(C276*D276)))</f>
        <v/>
      </c>
      <c r="F276" s="15" t="str">
        <f aca="false">IF('Project Register'!$A276="","",TRIM(IF(OR('Project Register'!E276="",'Project Register'!F276=""),"Missing date. ","")&amp;IF(AND('Project Register'!E276&lt;&gt;"",'Project Register'!F276&lt;&gt;"",'Project Register'!F276&lt;'Project Register'!E276),"End before start. ","")&amp;IF(NOT(ISNUMBER('Project Register'!G276)),"Effort missing. ","")&amp;IF(D276=0,"No resource. ","")&amp;IF(AND('Project Register'!H276&lt;&gt;"",'Project Register'!I276=""),"Role 1 missing. ","")&amp;IF(AND('Project Register'!J276&lt;&gt;"",'Project Register'!K276=""),"Role 2 missing. ","")&amp;IF(AND('Project Register'!L276&lt;&gt;"",'Project Register'!M276=""),"Role 3 missing. ","")&amp;IF(OR(AND('Project Register'!H276&lt;&gt;"",'Project Register'!H276='Project Register'!J276),AND('Project Register'!H276&lt;&gt;"",'Project Register'!H276='Project Register'!L276),AND('Project Register'!J276&lt;&gt;"",'Project Register'!J276='Project Register'!L276)),"Same person listed twice. ","")&amp;IF(AND('Project Register'!H276&lt;&gt;"",COUNTIF(Resources!$A$2:$A$51,'Project Register'!H276)=0),"Resource 1 not in Resources sheet. ","")&amp;IF(AND('Project Register'!J276&lt;&gt;"",COUNTIF(Resources!$A$2:$A$51,'Project Register'!J276)=0),"Resource 2 not in Resources sheet. ","")&amp;IF(AND('Project Register'!L276&lt;&gt;"",COUNTIF(Resources!$A$2:$A$51,'Project Register'!L276)=0),"Resource 3 not in Resources sheet. ","")&amp;IF('Project Register'!O276="","Test Status missing. ","")&amp;IF(AND(ISNUMBER(E276),E276&gt;1),"This task alone needs over 100% per person. ","")&amp;IF(AND('Project Register'!Q276="Deployed in Live",'Project Register'!R276=""),"Release Date blank (import date will be used). ","")))</f>
        <v/>
      </c>
      <c r="G276" s="17" t="str">
        <f aca="false">IF('Project Register'!$A276="","",IF(F276="","OK","Check"))</f>
        <v/>
      </c>
    </row>
    <row r="277" customFormat="false" ht="15" hidden="false" customHeight="false" outlineLevel="0" collapsed="false">
      <c r="A277" s="15" t="str">
        <f aca="false">IF('Project Register'!$A277="","",ROW('Project Register'!A277))</f>
        <v/>
      </c>
      <c r="B277" s="15" t="str">
        <f aca="false">IF('Project Register'!$A277="","",'Project Register'!B277)</f>
        <v/>
      </c>
      <c r="C277" s="15" t="str">
        <f aca="false">IF('Project Register'!$A277="","",IF(OR('Project Register'!E277="",'Project Register'!F277=""),"",IF('Project Register'!F277&lt;'Project Register'!E277,0,NETWORKDAYS.INTL('Project Register'!E277,'Project Register'!F277,"0000110",Holidays_Leave!$A$3:$A$62))))</f>
        <v/>
      </c>
      <c r="D277" s="15" t="str">
        <f aca="false">IF('Project Register'!$A277="","",('Project Register'!H277&lt;&gt;"")+('Project Register'!J277&lt;&gt;"")+('Project Register'!L277&lt;&gt;""))</f>
        <v/>
      </c>
      <c r="E277" s="16" t="str">
        <f aca="false">IF(OR(C277="",D277="",'Project Register'!G277=""),"",IF(OR(C277=0,D277=0),"",'Project Register'!G277/(C277*D277)))</f>
        <v/>
      </c>
      <c r="F277" s="15" t="str">
        <f aca="false">IF('Project Register'!$A277="","",TRIM(IF(OR('Project Register'!E277="",'Project Register'!F277=""),"Missing date. ","")&amp;IF(AND('Project Register'!E277&lt;&gt;"",'Project Register'!F277&lt;&gt;"",'Project Register'!F277&lt;'Project Register'!E277),"End before start. ","")&amp;IF(NOT(ISNUMBER('Project Register'!G277)),"Effort missing. ","")&amp;IF(D277=0,"No resource. ","")&amp;IF(AND('Project Register'!H277&lt;&gt;"",'Project Register'!I277=""),"Role 1 missing. ","")&amp;IF(AND('Project Register'!J277&lt;&gt;"",'Project Register'!K277=""),"Role 2 missing. ","")&amp;IF(AND('Project Register'!L277&lt;&gt;"",'Project Register'!M277=""),"Role 3 missing. ","")&amp;IF(OR(AND('Project Register'!H277&lt;&gt;"",'Project Register'!H277='Project Register'!J277),AND('Project Register'!H277&lt;&gt;"",'Project Register'!H277='Project Register'!L277),AND('Project Register'!J277&lt;&gt;"",'Project Register'!J277='Project Register'!L277)),"Same person listed twice. ","")&amp;IF(AND('Project Register'!H277&lt;&gt;"",COUNTIF(Resources!$A$2:$A$51,'Project Register'!H277)=0),"Resource 1 not in Resources sheet. ","")&amp;IF(AND('Project Register'!J277&lt;&gt;"",COUNTIF(Resources!$A$2:$A$51,'Project Register'!J277)=0),"Resource 2 not in Resources sheet. ","")&amp;IF(AND('Project Register'!L277&lt;&gt;"",COUNTIF(Resources!$A$2:$A$51,'Project Register'!L277)=0),"Resource 3 not in Resources sheet. ","")&amp;IF('Project Register'!O277="","Test Status missing. ","")&amp;IF(AND(ISNUMBER(E277),E277&gt;1),"This task alone needs over 100% per person. ","")&amp;IF(AND('Project Register'!Q277="Deployed in Live",'Project Register'!R277=""),"Release Date blank (import date will be used). ","")))</f>
        <v/>
      </c>
      <c r="G277" s="17" t="str">
        <f aca="false">IF('Project Register'!$A277="","",IF(F277="","OK","Check"))</f>
        <v/>
      </c>
    </row>
    <row r="278" customFormat="false" ht="15" hidden="false" customHeight="false" outlineLevel="0" collapsed="false">
      <c r="A278" s="15" t="str">
        <f aca="false">IF('Project Register'!$A278="","",ROW('Project Register'!A278))</f>
        <v/>
      </c>
      <c r="B278" s="15" t="str">
        <f aca="false">IF('Project Register'!$A278="","",'Project Register'!B278)</f>
        <v/>
      </c>
      <c r="C278" s="15" t="str">
        <f aca="false">IF('Project Register'!$A278="","",IF(OR('Project Register'!E278="",'Project Register'!F278=""),"",IF('Project Register'!F278&lt;'Project Register'!E278,0,NETWORKDAYS.INTL('Project Register'!E278,'Project Register'!F278,"0000110",Holidays_Leave!$A$3:$A$62))))</f>
        <v/>
      </c>
      <c r="D278" s="15" t="str">
        <f aca="false">IF('Project Register'!$A278="","",('Project Register'!H278&lt;&gt;"")+('Project Register'!J278&lt;&gt;"")+('Project Register'!L278&lt;&gt;""))</f>
        <v/>
      </c>
      <c r="E278" s="16" t="str">
        <f aca="false">IF(OR(C278="",D278="",'Project Register'!G278=""),"",IF(OR(C278=0,D278=0),"",'Project Register'!G278/(C278*D278)))</f>
        <v/>
      </c>
      <c r="F278" s="15" t="str">
        <f aca="false">IF('Project Register'!$A278="","",TRIM(IF(OR('Project Register'!E278="",'Project Register'!F278=""),"Missing date. ","")&amp;IF(AND('Project Register'!E278&lt;&gt;"",'Project Register'!F278&lt;&gt;"",'Project Register'!F278&lt;'Project Register'!E278),"End before start. ","")&amp;IF(NOT(ISNUMBER('Project Register'!G278)),"Effort missing. ","")&amp;IF(D278=0,"No resource. ","")&amp;IF(AND('Project Register'!H278&lt;&gt;"",'Project Register'!I278=""),"Role 1 missing. ","")&amp;IF(AND('Project Register'!J278&lt;&gt;"",'Project Register'!K278=""),"Role 2 missing. ","")&amp;IF(AND('Project Register'!L278&lt;&gt;"",'Project Register'!M278=""),"Role 3 missing. ","")&amp;IF(OR(AND('Project Register'!H278&lt;&gt;"",'Project Register'!H278='Project Register'!J278),AND('Project Register'!H278&lt;&gt;"",'Project Register'!H278='Project Register'!L278),AND('Project Register'!J278&lt;&gt;"",'Project Register'!J278='Project Register'!L278)),"Same person listed twice. ","")&amp;IF(AND('Project Register'!H278&lt;&gt;"",COUNTIF(Resources!$A$2:$A$51,'Project Register'!H278)=0),"Resource 1 not in Resources sheet. ","")&amp;IF(AND('Project Register'!J278&lt;&gt;"",COUNTIF(Resources!$A$2:$A$51,'Project Register'!J278)=0),"Resource 2 not in Resources sheet. ","")&amp;IF(AND('Project Register'!L278&lt;&gt;"",COUNTIF(Resources!$A$2:$A$51,'Project Register'!L278)=0),"Resource 3 not in Resources sheet. ","")&amp;IF('Project Register'!O278="","Test Status missing. ","")&amp;IF(AND(ISNUMBER(E278),E278&gt;1),"This task alone needs over 100% per person. ","")&amp;IF(AND('Project Register'!Q278="Deployed in Live",'Project Register'!R278=""),"Release Date blank (import date will be used). ","")))</f>
        <v/>
      </c>
      <c r="G278" s="17" t="str">
        <f aca="false">IF('Project Register'!$A278="","",IF(F278="","OK","Check"))</f>
        <v/>
      </c>
    </row>
    <row r="279" customFormat="false" ht="15" hidden="false" customHeight="false" outlineLevel="0" collapsed="false">
      <c r="A279" s="15" t="str">
        <f aca="false">IF('Project Register'!$A279="","",ROW('Project Register'!A279))</f>
        <v/>
      </c>
      <c r="B279" s="15" t="str">
        <f aca="false">IF('Project Register'!$A279="","",'Project Register'!B279)</f>
        <v/>
      </c>
      <c r="C279" s="15" t="str">
        <f aca="false">IF('Project Register'!$A279="","",IF(OR('Project Register'!E279="",'Project Register'!F279=""),"",IF('Project Register'!F279&lt;'Project Register'!E279,0,NETWORKDAYS.INTL('Project Register'!E279,'Project Register'!F279,"0000110",Holidays_Leave!$A$3:$A$62))))</f>
        <v/>
      </c>
      <c r="D279" s="15" t="str">
        <f aca="false">IF('Project Register'!$A279="","",('Project Register'!H279&lt;&gt;"")+('Project Register'!J279&lt;&gt;"")+('Project Register'!L279&lt;&gt;""))</f>
        <v/>
      </c>
      <c r="E279" s="16" t="str">
        <f aca="false">IF(OR(C279="",D279="",'Project Register'!G279=""),"",IF(OR(C279=0,D279=0),"",'Project Register'!G279/(C279*D279)))</f>
        <v/>
      </c>
      <c r="F279" s="15" t="str">
        <f aca="false">IF('Project Register'!$A279="","",TRIM(IF(OR('Project Register'!E279="",'Project Register'!F279=""),"Missing date. ","")&amp;IF(AND('Project Register'!E279&lt;&gt;"",'Project Register'!F279&lt;&gt;"",'Project Register'!F279&lt;'Project Register'!E279),"End before start. ","")&amp;IF(NOT(ISNUMBER('Project Register'!G279)),"Effort missing. ","")&amp;IF(D279=0,"No resource. ","")&amp;IF(AND('Project Register'!H279&lt;&gt;"",'Project Register'!I279=""),"Role 1 missing. ","")&amp;IF(AND('Project Register'!J279&lt;&gt;"",'Project Register'!K279=""),"Role 2 missing. ","")&amp;IF(AND('Project Register'!L279&lt;&gt;"",'Project Register'!M279=""),"Role 3 missing. ","")&amp;IF(OR(AND('Project Register'!H279&lt;&gt;"",'Project Register'!H279='Project Register'!J279),AND('Project Register'!H279&lt;&gt;"",'Project Register'!H279='Project Register'!L279),AND('Project Register'!J279&lt;&gt;"",'Project Register'!J279='Project Register'!L279)),"Same person listed twice. ","")&amp;IF(AND('Project Register'!H279&lt;&gt;"",COUNTIF(Resources!$A$2:$A$51,'Project Register'!H279)=0),"Resource 1 not in Resources sheet. ","")&amp;IF(AND('Project Register'!J279&lt;&gt;"",COUNTIF(Resources!$A$2:$A$51,'Project Register'!J279)=0),"Resource 2 not in Resources sheet. ","")&amp;IF(AND('Project Register'!L279&lt;&gt;"",COUNTIF(Resources!$A$2:$A$51,'Project Register'!L279)=0),"Resource 3 not in Resources sheet. ","")&amp;IF('Project Register'!O279="","Test Status missing. ","")&amp;IF(AND(ISNUMBER(E279),E279&gt;1),"This task alone needs over 100% per person. ","")&amp;IF(AND('Project Register'!Q279="Deployed in Live",'Project Register'!R279=""),"Release Date blank (import date will be used). ","")))</f>
        <v/>
      </c>
      <c r="G279" s="17" t="str">
        <f aca="false">IF('Project Register'!$A279="","",IF(F279="","OK","Check"))</f>
        <v/>
      </c>
    </row>
    <row r="280" customFormat="false" ht="15" hidden="false" customHeight="false" outlineLevel="0" collapsed="false">
      <c r="A280" s="15" t="str">
        <f aca="false">IF('Project Register'!$A280="","",ROW('Project Register'!A280))</f>
        <v/>
      </c>
      <c r="B280" s="15" t="str">
        <f aca="false">IF('Project Register'!$A280="","",'Project Register'!B280)</f>
        <v/>
      </c>
      <c r="C280" s="15" t="str">
        <f aca="false">IF('Project Register'!$A280="","",IF(OR('Project Register'!E280="",'Project Register'!F280=""),"",IF('Project Register'!F280&lt;'Project Register'!E280,0,NETWORKDAYS.INTL('Project Register'!E280,'Project Register'!F280,"0000110",Holidays_Leave!$A$3:$A$62))))</f>
        <v/>
      </c>
      <c r="D280" s="15" t="str">
        <f aca="false">IF('Project Register'!$A280="","",('Project Register'!H280&lt;&gt;"")+('Project Register'!J280&lt;&gt;"")+('Project Register'!L280&lt;&gt;""))</f>
        <v/>
      </c>
      <c r="E280" s="16" t="str">
        <f aca="false">IF(OR(C280="",D280="",'Project Register'!G280=""),"",IF(OR(C280=0,D280=0),"",'Project Register'!G280/(C280*D280)))</f>
        <v/>
      </c>
      <c r="F280" s="15" t="str">
        <f aca="false">IF('Project Register'!$A280="","",TRIM(IF(OR('Project Register'!E280="",'Project Register'!F280=""),"Missing date. ","")&amp;IF(AND('Project Register'!E280&lt;&gt;"",'Project Register'!F280&lt;&gt;"",'Project Register'!F280&lt;'Project Register'!E280),"End before start. ","")&amp;IF(NOT(ISNUMBER('Project Register'!G280)),"Effort missing. ","")&amp;IF(D280=0,"No resource. ","")&amp;IF(AND('Project Register'!H280&lt;&gt;"",'Project Register'!I280=""),"Role 1 missing. ","")&amp;IF(AND('Project Register'!J280&lt;&gt;"",'Project Register'!K280=""),"Role 2 missing. ","")&amp;IF(AND('Project Register'!L280&lt;&gt;"",'Project Register'!M280=""),"Role 3 missing. ","")&amp;IF(OR(AND('Project Register'!H280&lt;&gt;"",'Project Register'!H280='Project Register'!J280),AND('Project Register'!H280&lt;&gt;"",'Project Register'!H280='Project Register'!L280),AND('Project Register'!J280&lt;&gt;"",'Project Register'!J280='Project Register'!L280)),"Same person listed twice. ","")&amp;IF(AND('Project Register'!H280&lt;&gt;"",COUNTIF(Resources!$A$2:$A$51,'Project Register'!H280)=0),"Resource 1 not in Resources sheet. ","")&amp;IF(AND('Project Register'!J280&lt;&gt;"",COUNTIF(Resources!$A$2:$A$51,'Project Register'!J280)=0),"Resource 2 not in Resources sheet. ","")&amp;IF(AND('Project Register'!L280&lt;&gt;"",COUNTIF(Resources!$A$2:$A$51,'Project Register'!L280)=0),"Resource 3 not in Resources sheet. ","")&amp;IF('Project Register'!O280="","Test Status missing. ","")&amp;IF(AND(ISNUMBER(E280),E280&gt;1),"This task alone needs over 100% per person. ","")&amp;IF(AND('Project Register'!Q280="Deployed in Live",'Project Register'!R280=""),"Release Date blank (import date will be used). ","")))</f>
        <v/>
      </c>
      <c r="G280" s="17" t="str">
        <f aca="false">IF('Project Register'!$A280="","",IF(F280="","OK","Check"))</f>
        <v/>
      </c>
    </row>
    <row r="281" customFormat="false" ht="15" hidden="false" customHeight="false" outlineLevel="0" collapsed="false">
      <c r="A281" s="15" t="str">
        <f aca="false">IF('Project Register'!$A281="","",ROW('Project Register'!A281))</f>
        <v/>
      </c>
      <c r="B281" s="15" t="str">
        <f aca="false">IF('Project Register'!$A281="","",'Project Register'!B281)</f>
        <v/>
      </c>
      <c r="C281" s="15" t="str">
        <f aca="false">IF('Project Register'!$A281="","",IF(OR('Project Register'!E281="",'Project Register'!F281=""),"",IF('Project Register'!F281&lt;'Project Register'!E281,0,NETWORKDAYS.INTL('Project Register'!E281,'Project Register'!F281,"0000110",Holidays_Leave!$A$3:$A$62))))</f>
        <v/>
      </c>
      <c r="D281" s="15" t="str">
        <f aca="false">IF('Project Register'!$A281="","",('Project Register'!H281&lt;&gt;"")+('Project Register'!J281&lt;&gt;"")+('Project Register'!L281&lt;&gt;""))</f>
        <v/>
      </c>
      <c r="E281" s="16" t="str">
        <f aca="false">IF(OR(C281="",D281="",'Project Register'!G281=""),"",IF(OR(C281=0,D281=0),"",'Project Register'!G281/(C281*D281)))</f>
        <v/>
      </c>
      <c r="F281" s="15" t="str">
        <f aca="false">IF('Project Register'!$A281="","",TRIM(IF(OR('Project Register'!E281="",'Project Register'!F281=""),"Missing date. ","")&amp;IF(AND('Project Register'!E281&lt;&gt;"",'Project Register'!F281&lt;&gt;"",'Project Register'!F281&lt;'Project Register'!E281),"End before start. ","")&amp;IF(NOT(ISNUMBER('Project Register'!G281)),"Effort missing. ","")&amp;IF(D281=0,"No resource. ","")&amp;IF(AND('Project Register'!H281&lt;&gt;"",'Project Register'!I281=""),"Role 1 missing. ","")&amp;IF(AND('Project Register'!J281&lt;&gt;"",'Project Register'!K281=""),"Role 2 missing. ","")&amp;IF(AND('Project Register'!L281&lt;&gt;"",'Project Register'!M281=""),"Role 3 missing. ","")&amp;IF(OR(AND('Project Register'!H281&lt;&gt;"",'Project Register'!H281='Project Register'!J281),AND('Project Register'!H281&lt;&gt;"",'Project Register'!H281='Project Register'!L281),AND('Project Register'!J281&lt;&gt;"",'Project Register'!J281='Project Register'!L281)),"Same person listed twice. ","")&amp;IF(AND('Project Register'!H281&lt;&gt;"",COUNTIF(Resources!$A$2:$A$51,'Project Register'!H281)=0),"Resource 1 not in Resources sheet. ","")&amp;IF(AND('Project Register'!J281&lt;&gt;"",COUNTIF(Resources!$A$2:$A$51,'Project Register'!J281)=0),"Resource 2 not in Resources sheet. ","")&amp;IF(AND('Project Register'!L281&lt;&gt;"",COUNTIF(Resources!$A$2:$A$51,'Project Register'!L281)=0),"Resource 3 not in Resources sheet. ","")&amp;IF('Project Register'!O281="","Test Status missing. ","")&amp;IF(AND(ISNUMBER(E281),E281&gt;1),"This task alone needs over 100% per person. ","")&amp;IF(AND('Project Register'!Q281="Deployed in Live",'Project Register'!R281=""),"Release Date blank (import date will be used). ","")))</f>
        <v/>
      </c>
      <c r="G281" s="17" t="str">
        <f aca="false">IF('Project Register'!$A281="","",IF(F281="","OK","Check"))</f>
        <v/>
      </c>
    </row>
    <row r="282" customFormat="false" ht="15" hidden="false" customHeight="false" outlineLevel="0" collapsed="false">
      <c r="A282" s="15" t="str">
        <f aca="false">IF('Project Register'!$A282="","",ROW('Project Register'!A282))</f>
        <v/>
      </c>
      <c r="B282" s="15" t="str">
        <f aca="false">IF('Project Register'!$A282="","",'Project Register'!B282)</f>
        <v/>
      </c>
      <c r="C282" s="15" t="str">
        <f aca="false">IF('Project Register'!$A282="","",IF(OR('Project Register'!E282="",'Project Register'!F282=""),"",IF('Project Register'!F282&lt;'Project Register'!E282,0,NETWORKDAYS.INTL('Project Register'!E282,'Project Register'!F282,"0000110",Holidays_Leave!$A$3:$A$62))))</f>
        <v/>
      </c>
      <c r="D282" s="15" t="str">
        <f aca="false">IF('Project Register'!$A282="","",('Project Register'!H282&lt;&gt;"")+('Project Register'!J282&lt;&gt;"")+('Project Register'!L282&lt;&gt;""))</f>
        <v/>
      </c>
      <c r="E282" s="16" t="str">
        <f aca="false">IF(OR(C282="",D282="",'Project Register'!G282=""),"",IF(OR(C282=0,D282=0),"",'Project Register'!G282/(C282*D282)))</f>
        <v/>
      </c>
      <c r="F282" s="15" t="str">
        <f aca="false">IF('Project Register'!$A282="","",TRIM(IF(OR('Project Register'!E282="",'Project Register'!F282=""),"Missing date. ","")&amp;IF(AND('Project Register'!E282&lt;&gt;"",'Project Register'!F282&lt;&gt;"",'Project Register'!F282&lt;'Project Register'!E282),"End before start. ","")&amp;IF(NOT(ISNUMBER('Project Register'!G282)),"Effort missing. ","")&amp;IF(D282=0,"No resource. ","")&amp;IF(AND('Project Register'!H282&lt;&gt;"",'Project Register'!I282=""),"Role 1 missing. ","")&amp;IF(AND('Project Register'!J282&lt;&gt;"",'Project Register'!K282=""),"Role 2 missing. ","")&amp;IF(AND('Project Register'!L282&lt;&gt;"",'Project Register'!M282=""),"Role 3 missing. ","")&amp;IF(OR(AND('Project Register'!H282&lt;&gt;"",'Project Register'!H282='Project Register'!J282),AND('Project Register'!H282&lt;&gt;"",'Project Register'!H282='Project Register'!L282),AND('Project Register'!J282&lt;&gt;"",'Project Register'!J282='Project Register'!L282)),"Same person listed twice. ","")&amp;IF(AND('Project Register'!H282&lt;&gt;"",COUNTIF(Resources!$A$2:$A$51,'Project Register'!H282)=0),"Resource 1 not in Resources sheet. ","")&amp;IF(AND('Project Register'!J282&lt;&gt;"",COUNTIF(Resources!$A$2:$A$51,'Project Register'!J282)=0),"Resource 2 not in Resources sheet. ","")&amp;IF(AND('Project Register'!L282&lt;&gt;"",COUNTIF(Resources!$A$2:$A$51,'Project Register'!L282)=0),"Resource 3 not in Resources sheet. ","")&amp;IF('Project Register'!O282="","Test Status missing. ","")&amp;IF(AND(ISNUMBER(E282),E282&gt;1),"This task alone needs over 100% per person. ","")&amp;IF(AND('Project Register'!Q282="Deployed in Live",'Project Register'!R282=""),"Release Date blank (import date will be used). ","")))</f>
        <v/>
      </c>
      <c r="G282" s="17" t="str">
        <f aca="false">IF('Project Register'!$A282="","",IF(F282="","OK","Check"))</f>
        <v/>
      </c>
    </row>
    <row r="283" customFormat="false" ht="15" hidden="false" customHeight="false" outlineLevel="0" collapsed="false">
      <c r="A283" s="15" t="str">
        <f aca="false">IF('Project Register'!$A283="","",ROW('Project Register'!A283))</f>
        <v/>
      </c>
      <c r="B283" s="15" t="str">
        <f aca="false">IF('Project Register'!$A283="","",'Project Register'!B283)</f>
        <v/>
      </c>
      <c r="C283" s="15" t="str">
        <f aca="false">IF('Project Register'!$A283="","",IF(OR('Project Register'!E283="",'Project Register'!F283=""),"",IF('Project Register'!F283&lt;'Project Register'!E283,0,NETWORKDAYS.INTL('Project Register'!E283,'Project Register'!F283,"0000110",Holidays_Leave!$A$3:$A$62))))</f>
        <v/>
      </c>
      <c r="D283" s="15" t="str">
        <f aca="false">IF('Project Register'!$A283="","",('Project Register'!H283&lt;&gt;"")+('Project Register'!J283&lt;&gt;"")+('Project Register'!L283&lt;&gt;""))</f>
        <v/>
      </c>
      <c r="E283" s="16" t="str">
        <f aca="false">IF(OR(C283="",D283="",'Project Register'!G283=""),"",IF(OR(C283=0,D283=0),"",'Project Register'!G283/(C283*D283)))</f>
        <v/>
      </c>
      <c r="F283" s="15" t="str">
        <f aca="false">IF('Project Register'!$A283="","",TRIM(IF(OR('Project Register'!E283="",'Project Register'!F283=""),"Missing date. ","")&amp;IF(AND('Project Register'!E283&lt;&gt;"",'Project Register'!F283&lt;&gt;"",'Project Register'!F283&lt;'Project Register'!E283),"End before start. ","")&amp;IF(NOT(ISNUMBER('Project Register'!G283)),"Effort missing. ","")&amp;IF(D283=0,"No resource. ","")&amp;IF(AND('Project Register'!H283&lt;&gt;"",'Project Register'!I283=""),"Role 1 missing. ","")&amp;IF(AND('Project Register'!J283&lt;&gt;"",'Project Register'!K283=""),"Role 2 missing. ","")&amp;IF(AND('Project Register'!L283&lt;&gt;"",'Project Register'!M283=""),"Role 3 missing. ","")&amp;IF(OR(AND('Project Register'!H283&lt;&gt;"",'Project Register'!H283='Project Register'!J283),AND('Project Register'!H283&lt;&gt;"",'Project Register'!H283='Project Register'!L283),AND('Project Register'!J283&lt;&gt;"",'Project Register'!J283='Project Register'!L283)),"Same person listed twice. ","")&amp;IF(AND('Project Register'!H283&lt;&gt;"",COUNTIF(Resources!$A$2:$A$51,'Project Register'!H283)=0),"Resource 1 not in Resources sheet. ","")&amp;IF(AND('Project Register'!J283&lt;&gt;"",COUNTIF(Resources!$A$2:$A$51,'Project Register'!J283)=0),"Resource 2 not in Resources sheet. ","")&amp;IF(AND('Project Register'!L283&lt;&gt;"",COUNTIF(Resources!$A$2:$A$51,'Project Register'!L283)=0),"Resource 3 not in Resources sheet. ","")&amp;IF('Project Register'!O283="","Test Status missing. ","")&amp;IF(AND(ISNUMBER(E283),E283&gt;1),"This task alone needs over 100% per person. ","")&amp;IF(AND('Project Register'!Q283="Deployed in Live",'Project Register'!R283=""),"Release Date blank (import date will be used). ","")))</f>
        <v/>
      </c>
      <c r="G283" s="17" t="str">
        <f aca="false">IF('Project Register'!$A283="","",IF(F283="","OK","Check"))</f>
        <v/>
      </c>
    </row>
    <row r="284" customFormat="false" ht="15" hidden="false" customHeight="false" outlineLevel="0" collapsed="false">
      <c r="A284" s="15" t="str">
        <f aca="false">IF('Project Register'!$A284="","",ROW('Project Register'!A284))</f>
        <v/>
      </c>
      <c r="B284" s="15" t="str">
        <f aca="false">IF('Project Register'!$A284="","",'Project Register'!B284)</f>
        <v/>
      </c>
      <c r="C284" s="15" t="str">
        <f aca="false">IF('Project Register'!$A284="","",IF(OR('Project Register'!E284="",'Project Register'!F284=""),"",IF('Project Register'!F284&lt;'Project Register'!E284,0,NETWORKDAYS.INTL('Project Register'!E284,'Project Register'!F284,"0000110",Holidays_Leave!$A$3:$A$62))))</f>
        <v/>
      </c>
      <c r="D284" s="15" t="str">
        <f aca="false">IF('Project Register'!$A284="","",('Project Register'!H284&lt;&gt;"")+('Project Register'!J284&lt;&gt;"")+('Project Register'!L284&lt;&gt;""))</f>
        <v/>
      </c>
      <c r="E284" s="16" t="str">
        <f aca="false">IF(OR(C284="",D284="",'Project Register'!G284=""),"",IF(OR(C284=0,D284=0),"",'Project Register'!G284/(C284*D284)))</f>
        <v/>
      </c>
      <c r="F284" s="15" t="str">
        <f aca="false">IF('Project Register'!$A284="","",TRIM(IF(OR('Project Register'!E284="",'Project Register'!F284=""),"Missing date. ","")&amp;IF(AND('Project Register'!E284&lt;&gt;"",'Project Register'!F284&lt;&gt;"",'Project Register'!F284&lt;'Project Register'!E284),"End before start. ","")&amp;IF(NOT(ISNUMBER('Project Register'!G284)),"Effort missing. ","")&amp;IF(D284=0,"No resource. ","")&amp;IF(AND('Project Register'!H284&lt;&gt;"",'Project Register'!I284=""),"Role 1 missing. ","")&amp;IF(AND('Project Register'!J284&lt;&gt;"",'Project Register'!K284=""),"Role 2 missing. ","")&amp;IF(AND('Project Register'!L284&lt;&gt;"",'Project Register'!M284=""),"Role 3 missing. ","")&amp;IF(OR(AND('Project Register'!H284&lt;&gt;"",'Project Register'!H284='Project Register'!J284),AND('Project Register'!H284&lt;&gt;"",'Project Register'!H284='Project Register'!L284),AND('Project Register'!J284&lt;&gt;"",'Project Register'!J284='Project Register'!L284)),"Same person listed twice. ","")&amp;IF(AND('Project Register'!H284&lt;&gt;"",COUNTIF(Resources!$A$2:$A$51,'Project Register'!H284)=0),"Resource 1 not in Resources sheet. ","")&amp;IF(AND('Project Register'!J284&lt;&gt;"",COUNTIF(Resources!$A$2:$A$51,'Project Register'!J284)=0),"Resource 2 not in Resources sheet. ","")&amp;IF(AND('Project Register'!L284&lt;&gt;"",COUNTIF(Resources!$A$2:$A$51,'Project Register'!L284)=0),"Resource 3 not in Resources sheet. ","")&amp;IF('Project Register'!O284="","Test Status missing. ","")&amp;IF(AND(ISNUMBER(E284),E284&gt;1),"This task alone needs over 100% per person. ","")&amp;IF(AND('Project Register'!Q284="Deployed in Live",'Project Register'!R284=""),"Release Date blank (import date will be used). ","")))</f>
        <v/>
      </c>
      <c r="G284" s="17" t="str">
        <f aca="false">IF('Project Register'!$A284="","",IF(F284="","OK","Check"))</f>
        <v/>
      </c>
    </row>
    <row r="285" customFormat="false" ht="15" hidden="false" customHeight="false" outlineLevel="0" collapsed="false">
      <c r="A285" s="15" t="str">
        <f aca="false">IF('Project Register'!$A285="","",ROW('Project Register'!A285))</f>
        <v/>
      </c>
      <c r="B285" s="15" t="str">
        <f aca="false">IF('Project Register'!$A285="","",'Project Register'!B285)</f>
        <v/>
      </c>
      <c r="C285" s="15" t="str">
        <f aca="false">IF('Project Register'!$A285="","",IF(OR('Project Register'!E285="",'Project Register'!F285=""),"",IF('Project Register'!F285&lt;'Project Register'!E285,0,NETWORKDAYS.INTL('Project Register'!E285,'Project Register'!F285,"0000110",Holidays_Leave!$A$3:$A$62))))</f>
        <v/>
      </c>
      <c r="D285" s="15" t="str">
        <f aca="false">IF('Project Register'!$A285="","",('Project Register'!H285&lt;&gt;"")+('Project Register'!J285&lt;&gt;"")+('Project Register'!L285&lt;&gt;""))</f>
        <v/>
      </c>
      <c r="E285" s="16" t="str">
        <f aca="false">IF(OR(C285="",D285="",'Project Register'!G285=""),"",IF(OR(C285=0,D285=0),"",'Project Register'!G285/(C285*D285)))</f>
        <v/>
      </c>
      <c r="F285" s="15" t="str">
        <f aca="false">IF('Project Register'!$A285="","",TRIM(IF(OR('Project Register'!E285="",'Project Register'!F285=""),"Missing date. ","")&amp;IF(AND('Project Register'!E285&lt;&gt;"",'Project Register'!F285&lt;&gt;"",'Project Register'!F285&lt;'Project Register'!E285),"End before start. ","")&amp;IF(NOT(ISNUMBER('Project Register'!G285)),"Effort missing. ","")&amp;IF(D285=0,"No resource. ","")&amp;IF(AND('Project Register'!H285&lt;&gt;"",'Project Register'!I285=""),"Role 1 missing. ","")&amp;IF(AND('Project Register'!J285&lt;&gt;"",'Project Register'!K285=""),"Role 2 missing. ","")&amp;IF(AND('Project Register'!L285&lt;&gt;"",'Project Register'!M285=""),"Role 3 missing. ","")&amp;IF(OR(AND('Project Register'!H285&lt;&gt;"",'Project Register'!H285='Project Register'!J285),AND('Project Register'!H285&lt;&gt;"",'Project Register'!H285='Project Register'!L285),AND('Project Register'!J285&lt;&gt;"",'Project Register'!J285='Project Register'!L285)),"Same person listed twice. ","")&amp;IF(AND('Project Register'!H285&lt;&gt;"",COUNTIF(Resources!$A$2:$A$51,'Project Register'!H285)=0),"Resource 1 not in Resources sheet. ","")&amp;IF(AND('Project Register'!J285&lt;&gt;"",COUNTIF(Resources!$A$2:$A$51,'Project Register'!J285)=0),"Resource 2 not in Resources sheet. ","")&amp;IF(AND('Project Register'!L285&lt;&gt;"",COUNTIF(Resources!$A$2:$A$51,'Project Register'!L285)=0),"Resource 3 not in Resources sheet. ","")&amp;IF('Project Register'!O285="","Test Status missing. ","")&amp;IF(AND(ISNUMBER(E285),E285&gt;1),"This task alone needs over 100% per person. ","")&amp;IF(AND('Project Register'!Q285="Deployed in Live",'Project Register'!R285=""),"Release Date blank (import date will be used). ","")))</f>
        <v/>
      </c>
      <c r="G285" s="17" t="str">
        <f aca="false">IF('Project Register'!$A285="","",IF(F285="","OK","Check"))</f>
        <v/>
      </c>
    </row>
    <row r="286" customFormat="false" ht="15" hidden="false" customHeight="false" outlineLevel="0" collapsed="false">
      <c r="A286" s="15" t="str">
        <f aca="false">IF('Project Register'!$A286="","",ROW('Project Register'!A286))</f>
        <v/>
      </c>
      <c r="B286" s="15" t="str">
        <f aca="false">IF('Project Register'!$A286="","",'Project Register'!B286)</f>
        <v/>
      </c>
      <c r="C286" s="15" t="str">
        <f aca="false">IF('Project Register'!$A286="","",IF(OR('Project Register'!E286="",'Project Register'!F286=""),"",IF('Project Register'!F286&lt;'Project Register'!E286,0,NETWORKDAYS.INTL('Project Register'!E286,'Project Register'!F286,"0000110",Holidays_Leave!$A$3:$A$62))))</f>
        <v/>
      </c>
      <c r="D286" s="15" t="str">
        <f aca="false">IF('Project Register'!$A286="","",('Project Register'!H286&lt;&gt;"")+('Project Register'!J286&lt;&gt;"")+('Project Register'!L286&lt;&gt;""))</f>
        <v/>
      </c>
      <c r="E286" s="16" t="str">
        <f aca="false">IF(OR(C286="",D286="",'Project Register'!G286=""),"",IF(OR(C286=0,D286=0),"",'Project Register'!G286/(C286*D286)))</f>
        <v/>
      </c>
      <c r="F286" s="15" t="str">
        <f aca="false">IF('Project Register'!$A286="","",TRIM(IF(OR('Project Register'!E286="",'Project Register'!F286=""),"Missing date. ","")&amp;IF(AND('Project Register'!E286&lt;&gt;"",'Project Register'!F286&lt;&gt;"",'Project Register'!F286&lt;'Project Register'!E286),"End before start. ","")&amp;IF(NOT(ISNUMBER('Project Register'!G286)),"Effort missing. ","")&amp;IF(D286=0,"No resource. ","")&amp;IF(AND('Project Register'!H286&lt;&gt;"",'Project Register'!I286=""),"Role 1 missing. ","")&amp;IF(AND('Project Register'!J286&lt;&gt;"",'Project Register'!K286=""),"Role 2 missing. ","")&amp;IF(AND('Project Register'!L286&lt;&gt;"",'Project Register'!M286=""),"Role 3 missing. ","")&amp;IF(OR(AND('Project Register'!H286&lt;&gt;"",'Project Register'!H286='Project Register'!J286),AND('Project Register'!H286&lt;&gt;"",'Project Register'!H286='Project Register'!L286),AND('Project Register'!J286&lt;&gt;"",'Project Register'!J286='Project Register'!L286)),"Same person listed twice. ","")&amp;IF(AND('Project Register'!H286&lt;&gt;"",COUNTIF(Resources!$A$2:$A$51,'Project Register'!H286)=0),"Resource 1 not in Resources sheet. ","")&amp;IF(AND('Project Register'!J286&lt;&gt;"",COUNTIF(Resources!$A$2:$A$51,'Project Register'!J286)=0),"Resource 2 not in Resources sheet. ","")&amp;IF(AND('Project Register'!L286&lt;&gt;"",COUNTIF(Resources!$A$2:$A$51,'Project Register'!L286)=0),"Resource 3 not in Resources sheet. ","")&amp;IF('Project Register'!O286="","Test Status missing. ","")&amp;IF(AND(ISNUMBER(E286),E286&gt;1),"This task alone needs over 100% per person. ","")&amp;IF(AND('Project Register'!Q286="Deployed in Live",'Project Register'!R286=""),"Release Date blank (import date will be used). ","")))</f>
        <v/>
      </c>
      <c r="G286" s="17" t="str">
        <f aca="false">IF('Project Register'!$A286="","",IF(F286="","OK","Check"))</f>
        <v/>
      </c>
    </row>
    <row r="287" customFormat="false" ht="15" hidden="false" customHeight="false" outlineLevel="0" collapsed="false">
      <c r="A287" s="15" t="str">
        <f aca="false">IF('Project Register'!$A287="","",ROW('Project Register'!A287))</f>
        <v/>
      </c>
      <c r="B287" s="15" t="str">
        <f aca="false">IF('Project Register'!$A287="","",'Project Register'!B287)</f>
        <v/>
      </c>
      <c r="C287" s="15" t="str">
        <f aca="false">IF('Project Register'!$A287="","",IF(OR('Project Register'!E287="",'Project Register'!F287=""),"",IF('Project Register'!F287&lt;'Project Register'!E287,0,NETWORKDAYS.INTL('Project Register'!E287,'Project Register'!F287,"0000110",Holidays_Leave!$A$3:$A$62))))</f>
        <v/>
      </c>
      <c r="D287" s="15" t="str">
        <f aca="false">IF('Project Register'!$A287="","",('Project Register'!H287&lt;&gt;"")+('Project Register'!J287&lt;&gt;"")+('Project Register'!L287&lt;&gt;""))</f>
        <v/>
      </c>
      <c r="E287" s="16" t="str">
        <f aca="false">IF(OR(C287="",D287="",'Project Register'!G287=""),"",IF(OR(C287=0,D287=0),"",'Project Register'!G287/(C287*D287)))</f>
        <v/>
      </c>
      <c r="F287" s="15" t="str">
        <f aca="false">IF('Project Register'!$A287="","",TRIM(IF(OR('Project Register'!E287="",'Project Register'!F287=""),"Missing date. ","")&amp;IF(AND('Project Register'!E287&lt;&gt;"",'Project Register'!F287&lt;&gt;"",'Project Register'!F287&lt;'Project Register'!E287),"End before start. ","")&amp;IF(NOT(ISNUMBER('Project Register'!G287)),"Effort missing. ","")&amp;IF(D287=0,"No resource. ","")&amp;IF(AND('Project Register'!H287&lt;&gt;"",'Project Register'!I287=""),"Role 1 missing. ","")&amp;IF(AND('Project Register'!J287&lt;&gt;"",'Project Register'!K287=""),"Role 2 missing. ","")&amp;IF(AND('Project Register'!L287&lt;&gt;"",'Project Register'!M287=""),"Role 3 missing. ","")&amp;IF(OR(AND('Project Register'!H287&lt;&gt;"",'Project Register'!H287='Project Register'!J287),AND('Project Register'!H287&lt;&gt;"",'Project Register'!H287='Project Register'!L287),AND('Project Register'!J287&lt;&gt;"",'Project Register'!J287='Project Register'!L287)),"Same person listed twice. ","")&amp;IF(AND('Project Register'!H287&lt;&gt;"",COUNTIF(Resources!$A$2:$A$51,'Project Register'!H287)=0),"Resource 1 not in Resources sheet. ","")&amp;IF(AND('Project Register'!J287&lt;&gt;"",COUNTIF(Resources!$A$2:$A$51,'Project Register'!J287)=0),"Resource 2 not in Resources sheet. ","")&amp;IF(AND('Project Register'!L287&lt;&gt;"",COUNTIF(Resources!$A$2:$A$51,'Project Register'!L287)=0),"Resource 3 not in Resources sheet. ","")&amp;IF('Project Register'!O287="","Test Status missing. ","")&amp;IF(AND(ISNUMBER(E287),E287&gt;1),"This task alone needs over 100% per person. ","")&amp;IF(AND('Project Register'!Q287="Deployed in Live",'Project Register'!R287=""),"Release Date blank (import date will be used). ","")))</f>
        <v/>
      </c>
      <c r="G287" s="17" t="str">
        <f aca="false">IF('Project Register'!$A287="","",IF(F287="","OK","Check"))</f>
        <v/>
      </c>
    </row>
    <row r="288" customFormat="false" ht="15" hidden="false" customHeight="false" outlineLevel="0" collapsed="false">
      <c r="A288" s="15" t="str">
        <f aca="false">IF('Project Register'!$A288="","",ROW('Project Register'!A288))</f>
        <v/>
      </c>
      <c r="B288" s="15" t="str">
        <f aca="false">IF('Project Register'!$A288="","",'Project Register'!B288)</f>
        <v/>
      </c>
      <c r="C288" s="15" t="str">
        <f aca="false">IF('Project Register'!$A288="","",IF(OR('Project Register'!E288="",'Project Register'!F288=""),"",IF('Project Register'!F288&lt;'Project Register'!E288,0,NETWORKDAYS.INTL('Project Register'!E288,'Project Register'!F288,"0000110",Holidays_Leave!$A$3:$A$62))))</f>
        <v/>
      </c>
      <c r="D288" s="15" t="str">
        <f aca="false">IF('Project Register'!$A288="","",('Project Register'!H288&lt;&gt;"")+('Project Register'!J288&lt;&gt;"")+('Project Register'!L288&lt;&gt;""))</f>
        <v/>
      </c>
      <c r="E288" s="16" t="str">
        <f aca="false">IF(OR(C288="",D288="",'Project Register'!G288=""),"",IF(OR(C288=0,D288=0),"",'Project Register'!G288/(C288*D288)))</f>
        <v/>
      </c>
      <c r="F288" s="15" t="str">
        <f aca="false">IF('Project Register'!$A288="","",TRIM(IF(OR('Project Register'!E288="",'Project Register'!F288=""),"Missing date. ","")&amp;IF(AND('Project Register'!E288&lt;&gt;"",'Project Register'!F288&lt;&gt;"",'Project Register'!F288&lt;'Project Register'!E288),"End before start. ","")&amp;IF(NOT(ISNUMBER('Project Register'!G288)),"Effort missing. ","")&amp;IF(D288=0,"No resource. ","")&amp;IF(AND('Project Register'!H288&lt;&gt;"",'Project Register'!I288=""),"Role 1 missing. ","")&amp;IF(AND('Project Register'!J288&lt;&gt;"",'Project Register'!K288=""),"Role 2 missing. ","")&amp;IF(AND('Project Register'!L288&lt;&gt;"",'Project Register'!M288=""),"Role 3 missing. ","")&amp;IF(OR(AND('Project Register'!H288&lt;&gt;"",'Project Register'!H288='Project Register'!J288),AND('Project Register'!H288&lt;&gt;"",'Project Register'!H288='Project Register'!L288),AND('Project Register'!J288&lt;&gt;"",'Project Register'!J288='Project Register'!L288)),"Same person listed twice. ","")&amp;IF(AND('Project Register'!H288&lt;&gt;"",COUNTIF(Resources!$A$2:$A$51,'Project Register'!H288)=0),"Resource 1 not in Resources sheet. ","")&amp;IF(AND('Project Register'!J288&lt;&gt;"",COUNTIF(Resources!$A$2:$A$51,'Project Register'!J288)=0),"Resource 2 not in Resources sheet. ","")&amp;IF(AND('Project Register'!L288&lt;&gt;"",COUNTIF(Resources!$A$2:$A$51,'Project Register'!L288)=0),"Resource 3 not in Resources sheet. ","")&amp;IF('Project Register'!O288="","Test Status missing. ","")&amp;IF(AND(ISNUMBER(E288),E288&gt;1),"This task alone needs over 100% per person. ","")&amp;IF(AND('Project Register'!Q288="Deployed in Live",'Project Register'!R288=""),"Release Date blank (import date will be used). ","")))</f>
        <v/>
      </c>
      <c r="G288" s="17" t="str">
        <f aca="false">IF('Project Register'!$A288="","",IF(F288="","OK","Check"))</f>
        <v/>
      </c>
    </row>
    <row r="289" customFormat="false" ht="15" hidden="false" customHeight="false" outlineLevel="0" collapsed="false">
      <c r="A289" s="15" t="str">
        <f aca="false">IF('Project Register'!$A289="","",ROW('Project Register'!A289))</f>
        <v/>
      </c>
      <c r="B289" s="15" t="str">
        <f aca="false">IF('Project Register'!$A289="","",'Project Register'!B289)</f>
        <v/>
      </c>
      <c r="C289" s="15" t="str">
        <f aca="false">IF('Project Register'!$A289="","",IF(OR('Project Register'!E289="",'Project Register'!F289=""),"",IF('Project Register'!F289&lt;'Project Register'!E289,0,NETWORKDAYS.INTL('Project Register'!E289,'Project Register'!F289,"0000110",Holidays_Leave!$A$3:$A$62))))</f>
        <v/>
      </c>
      <c r="D289" s="15" t="str">
        <f aca="false">IF('Project Register'!$A289="","",('Project Register'!H289&lt;&gt;"")+('Project Register'!J289&lt;&gt;"")+('Project Register'!L289&lt;&gt;""))</f>
        <v/>
      </c>
      <c r="E289" s="16" t="str">
        <f aca="false">IF(OR(C289="",D289="",'Project Register'!G289=""),"",IF(OR(C289=0,D289=0),"",'Project Register'!G289/(C289*D289)))</f>
        <v/>
      </c>
      <c r="F289" s="15" t="str">
        <f aca="false">IF('Project Register'!$A289="","",TRIM(IF(OR('Project Register'!E289="",'Project Register'!F289=""),"Missing date. ","")&amp;IF(AND('Project Register'!E289&lt;&gt;"",'Project Register'!F289&lt;&gt;"",'Project Register'!F289&lt;'Project Register'!E289),"End before start. ","")&amp;IF(NOT(ISNUMBER('Project Register'!G289)),"Effort missing. ","")&amp;IF(D289=0,"No resource. ","")&amp;IF(AND('Project Register'!H289&lt;&gt;"",'Project Register'!I289=""),"Role 1 missing. ","")&amp;IF(AND('Project Register'!J289&lt;&gt;"",'Project Register'!K289=""),"Role 2 missing. ","")&amp;IF(AND('Project Register'!L289&lt;&gt;"",'Project Register'!M289=""),"Role 3 missing. ","")&amp;IF(OR(AND('Project Register'!H289&lt;&gt;"",'Project Register'!H289='Project Register'!J289),AND('Project Register'!H289&lt;&gt;"",'Project Register'!H289='Project Register'!L289),AND('Project Register'!J289&lt;&gt;"",'Project Register'!J289='Project Register'!L289)),"Same person listed twice. ","")&amp;IF(AND('Project Register'!H289&lt;&gt;"",COUNTIF(Resources!$A$2:$A$51,'Project Register'!H289)=0),"Resource 1 not in Resources sheet. ","")&amp;IF(AND('Project Register'!J289&lt;&gt;"",COUNTIF(Resources!$A$2:$A$51,'Project Register'!J289)=0),"Resource 2 not in Resources sheet. ","")&amp;IF(AND('Project Register'!L289&lt;&gt;"",COUNTIF(Resources!$A$2:$A$51,'Project Register'!L289)=0),"Resource 3 not in Resources sheet. ","")&amp;IF('Project Register'!O289="","Test Status missing. ","")&amp;IF(AND(ISNUMBER(E289),E289&gt;1),"This task alone needs over 100% per person. ","")&amp;IF(AND('Project Register'!Q289="Deployed in Live",'Project Register'!R289=""),"Release Date blank (import date will be used). ","")))</f>
        <v/>
      </c>
      <c r="G289" s="17" t="str">
        <f aca="false">IF('Project Register'!$A289="","",IF(F289="","OK","Check"))</f>
        <v/>
      </c>
    </row>
    <row r="290" customFormat="false" ht="15" hidden="false" customHeight="false" outlineLevel="0" collapsed="false">
      <c r="A290" s="15" t="str">
        <f aca="false">IF('Project Register'!$A290="","",ROW('Project Register'!A290))</f>
        <v/>
      </c>
      <c r="B290" s="15" t="str">
        <f aca="false">IF('Project Register'!$A290="","",'Project Register'!B290)</f>
        <v/>
      </c>
      <c r="C290" s="15" t="str">
        <f aca="false">IF('Project Register'!$A290="","",IF(OR('Project Register'!E290="",'Project Register'!F290=""),"",IF('Project Register'!F290&lt;'Project Register'!E290,0,NETWORKDAYS.INTL('Project Register'!E290,'Project Register'!F290,"0000110",Holidays_Leave!$A$3:$A$62))))</f>
        <v/>
      </c>
      <c r="D290" s="15" t="str">
        <f aca="false">IF('Project Register'!$A290="","",('Project Register'!H290&lt;&gt;"")+('Project Register'!J290&lt;&gt;"")+('Project Register'!L290&lt;&gt;""))</f>
        <v/>
      </c>
      <c r="E290" s="16" t="str">
        <f aca="false">IF(OR(C290="",D290="",'Project Register'!G290=""),"",IF(OR(C290=0,D290=0),"",'Project Register'!G290/(C290*D290)))</f>
        <v/>
      </c>
      <c r="F290" s="15" t="str">
        <f aca="false">IF('Project Register'!$A290="","",TRIM(IF(OR('Project Register'!E290="",'Project Register'!F290=""),"Missing date. ","")&amp;IF(AND('Project Register'!E290&lt;&gt;"",'Project Register'!F290&lt;&gt;"",'Project Register'!F290&lt;'Project Register'!E290),"End before start. ","")&amp;IF(NOT(ISNUMBER('Project Register'!G290)),"Effort missing. ","")&amp;IF(D290=0,"No resource. ","")&amp;IF(AND('Project Register'!H290&lt;&gt;"",'Project Register'!I290=""),"Role 1 missing. ","")&amp;IF(AND('Project Register'!J290&lt;&gt;"",'Project Register'!K290=""),"Role 2 missing. ","")&amp;IF(AND('Project Register'!L290&lt;&gt;"",'Project Register'!M290=""),"Role 3 missing. ","")&amp;IF(OR(AND('Project Register'!H290&lt;&gt;"",'Project Register'!H290='Project Register'!J290),AND('Project Register'!H290&lt;&gt;"",'Project Register'!H290='Project Register'!L290),AND('Project Register'!J290&lt;&gt;"",'Project Register'!J290='Project Register'!L290)),"Same person listed twice. ","")&amp;IF(AND('Project Register'!H290&lt;&gt;"",COUNTIF(Resources!$A$2:$A$51,'Project Register'!H290)=0),"Resource 1 not in Resources sheet. ","")&amp;IF(AND('Project Register'!J290&lt;&gt;"",COUNTIF(Resources!$A$2:$A$51,'Project Register'!J290)=0),"Resource 2 not in Resources sheet. ","")&amp;IF(AND('Project Register'!L290&lt;&gt;"",COUNTIF(Resources!$A$2:$A$51,'Project Register'!L290)=0),"Resource 3 not in Resources sheet. ","")&amp;IF('Project Register'!O290="","Test Status missing. ","")&amp;IF(AND(ISNUMBER(E290),E290&gt;1),"This task alone needs over 100% per person. ","")&amp;IF(AND('Project Register'!Q290="Deployed in Live",'Project Register'!R290=""),"Release Date blank (import date will be used). ","")))</f>
        <v/>
      </c>
      <c r="G290" s="17" t="str">
        <f aca="false">IF('Project Register'!$A290="","",IF(F290="","OK","Check"))</f>
        <v/>
      </c>
    </row>
    <row r="291" customFormat="false" ht="15" hidden="false" customHeight="false" outlineLevel="0" collapsed="false">
      <c r="A291" s="15" t="str">
        <f aca="false">IF('Project Register'!$A291="","",ROW('Project Register'!A291))</f>
        <v/>
      </c>
      <c r="B291" s="15" t="str">
        <f aca="false">IF('Project Register'!$A291="","",'Project Register'!B291)</f>
        <v/>
      </c>
      <c r="C291" s="15" t="str">
        <f aca="false">IF('Project Register'!$A291="","",IF(OR('Project Register'!E291="",'Project Register'!F291=""),"",IF('Project Register'!F291&lt;'Project Register'!E291,0,NETWORKDAYS.INTL('Project Register'!E291,'Project Register'!F291,"0000110",Holidays_Leave!$A$3:$A$62))))</f>
        <v/>
      </c>
      <c r="D291" s="15" t="str">
        <f aca="false">IF('Project Register'!$A291="","",('Project Register'!H291&lt;&gt;"")+('Project Register'!J291&lt;&gt;"")+('Project Register'!L291&lt;&gt;""))</f>
        <v/>
      </c>
      <c r="E291" s="16" t="str">
        <f aca="false">IF(OR(C291="",D291="",'Project Register'!G291=""),"",IF(OR(C291=0,D291=0),"",'Project Register'!G291/(C291*D291)))</f>
        <v/>
      </c>
      <c r="F291" s="15" t="str">
        <f aca="false">IF('Project Register'!$A291="","",TRIM(IF(OR('Project Register'!E291="",'Project Register'!F291=""),"Missing date. ","")&amp;IF(AND('Project Register'!E291&lt;&gt;"",'Project Register'!F291&lt;&gt;"",'Project Register'!F291&lt;'Project Register'!E291),"End before start. ","")&amp;IF(NOT(ISNUMBER('Project Register'!G291)),"Effort missing. ","")&amp;IF(D291=0,"No resource. ","")&amp;IF(AND('Project Register'!H291&lt;&gt;"",'Project Register'!I291=""),"Role 1 missing. ","")&amp;IF(AND('Project Register'!J291&lt;&gt;"",'Project Register'!K291=""),"Role 2 missing. ","")&amp;IF(AND('Project Register'!L291&lt;&gt;"",'Project Register'!M291=""),"Role 3 missing. ","")&amp;IF(OR(AND('Project Register'!H291&lt;&gt;"",'Project Register'!H291='Project Register'!J291),AND('Project Register'!H291&lt;&gt;"",'Project Register'!H291='Project Register'!L291),AND('Project Register'!J291&lt;&gt;"",'Project Register'!J291='Project Register'!L291)),"Same person listed twice. ","")&amp;IF(AND('Project Register'!H291&lt;&gt;"",COUNTIF(Resources!$A$2:$A$51,'Project Register'!H291)=0),"Resource 1 not in Resources sheet. ","")&amp;IF(AND('Project Register'!J291&lt;&gt;"",COUNTIF(Resources!$A$2:$A$51,'Project Register'!J291)=0),"Resource 2 not in Resources sheet. ","")&amp;IF(AND('Project Register'!L291&lt;&gt;"",COUNTIF(Resources!$A$2:$A$51,'Project Register'!L291)=0),"Resource 3 not in Resources sheet. ","")&amp;IF('Project Register'!O291="","Test Status missing. ","")&amp;IF(AND(ISNUMBER(E291),E291&gt;1),"This task alone needs over 100% per person. ","")&amp;IF(AND('Project Register'!Q291="Deployed in Live",'Project Register'!R291=""),"Release Date blank (import date will be used). ","")))</f>
        <v/>
      </c>
      <c r="G291" s="17" t="str">
        <f aca="false">IF('Project Register'!$A291="","",IF(F291="","OK","Check"))</f>
        <v/>
      </c>
    </row>
    <row r="292" customFormat="false" ht="15" hidden="false" customHeight="false" outlineLevel="0" collapsed="false">
      <c r="A292" s="15" t="str">
        <f aca="false">IF('Project Register'!$A292="","",ROW('Project Register'!A292))</f>
        <v/>
      </c>
      <c r="B292" s="15" t="str">
        <f aca="false">IF('Project Register'!$A292="","",'Project Register'!B292)</f>
        <v/>
      </c>
      <c r="C292" s="15" t="str">
        <f aca="false">IF('Project Register'!$A292="","",IF(OR('Project Register'!E292="",'Project Register'!F292=""),"",IF('Project Register'!F292&lt;'Project Register'!E292,0,NETWORKDAYS.INTL('Project Register'!E292,'Project Register'!F292,"0000110",Holidays_Leave!$A$3:$A$62))))</f>
        <v/>
      </c>
      <c r="D292" s="15" t="str">
        <f aca="false">IF('Project Register'!$A292="","",('Project Register'!H292&lt;&gt;"")+('Project Register'!J292&lt;&gt;"")+('Project Register'!L292&lt;&gt;""))</f>
        <v/>
      </c>
      <c r="E292" s="16" t="str">
        <f aca="false">IF(OR(C292="",D292="",'Project Register'!G292=""),"",IF(OR(C292=0,D292=0),"",'Project Register'!G292/(C292*D292)))</f>
        <v/>
      </c>
      <c r="F292" s="15" t="str">
        <f aca="false">IF('Project Register'!$A292="","",TRIM(IF(OR('Project Register'!E292="",'Project Register'!F292=""),"Missing date. ","")&amp;IF(AND('Project Register'!E292&lt;&gt;"",'Project Register'!F292&lt;&gt;"",'Project Register'!F292&lt;'Project Register'!E292),"End before start. ","")&amp;IF(NOT(ISNUMBER('Project Register'!G292)),"Effort missing. ","")&amp;IF(D292=0,"No resource. ","")&amp;IF(AND('Project Register'!H292&lt;&gt;"",'Project Register'!I292=""),"Role 1 missing. ","")&amp;IF(AND('Project Register'!J292&lt;&gt;"",'Project Register'!K292=""),"Role 2 missing. ","")&amp;IF(AND('Project Register'!L292&lt;&gt;"",'Project Register'!M292=""),"Role 3 missing. ","")&amp;IF(OR(AND('Project Register'!H292&lt;&gt;"",'Project Register'!H292='Project Register'!J292),AND('Project Register'!H292&lt;&gt;"",'Project Register'!H292='Project Register'!L292),AND('Project Register'!J292&lt;&gt;"",'Project Register'!J292='Project Register'!L292)),"Same person listed twice. ","")&amp;IF(AND('Project Register'!H292&lt;&gt;"",COUNTIF(Resources!$A$2:$A$51,'Project Register'!H292)=0),"Resource 1 not in Resources sheet. ","")&amp;IF(AND('Project Register'!J292&lt;&gt;"",COUNTIF(Resources!$A$2:$A$51,'Project Register'!J292)=0),"Resource 2 not in Resources sheet. ","")&amp;IF(AND('Project Register'!L292&lt;&gt;"",COUNTIF(Resources!$A$2:$A$51,'Project Register'!L292)=0),"Resource 3 not in Resources sheet. ","")&amp;IF('Project Register'!O292="","Test Status missing. ","")&amp;IF(AND(ISNUMBER(E292),E292&gt;1),"This task alone needs over 100% per person. ","")&amp;IF(AND('Project Register'!Q292="Deployed in Live",'Project Register'!R292=""),"Release Date blank (import date will be used). ","")))</f>
        <v/>
      </c>
      <c r="G292" s="17" t="str">
        <f aca="false">IF('Project Register'!$A292="","",IF(F292="","OK","Check"))</f>
        <v/>
      </c>
    </row>
    <row r="293" customFormat="false" ht="15" hidden="false" customHeight="false" outlineLevel="0" collapsed="false">
      <c r="A293" s="15" t="str">
        <f aca="false">IF('Project Register'!$A293="","",ROW('Project Register'!A293))</f>
        <v/>
      </c>
      <c r="B293" s="15" t="str">
        <f aca="false">IF('Project Register'!$A293="","",'Project Register'!B293)</f>
        <v/>
      </c>
      <c r="C293" s="15" t="str">
        <f aca="false">IF('Project Register'!$A293="","",IF(OR('Project Register'!E293="",'Project Register'!F293=""),"",IF('Project Register'!F293&lt;'Project Register'!E293,0,NETWORKDAYS.INTL('Project Register'!E293,'Project Register'!F293,"0000110",Holidays_Leave!$A$3:$A$62))))</f>
        <v/>
      </c>
      <c r="D293" s="15" t="str">
        <f aca="false">IF('Project Register'!$A293="","",('Project Register'!H293&lt;&gt;"")+('Project Register'!J293&lt;&gt;"")+('Project Register'!L293&lt;&gt;""))</f>
        <v/>
      </c>
      <c r="E293" s="16" t="str">
        <f aca="false">IF(OR(C293="",D293="",'Project Register'!G293=""),"",IF(OR(C293=0,D293=0),"",'Project Register'!G293/(C293*D293)))</f>
        <v/>
      </c>
      <c r="F293" s="15" t="str">
        <f aca="false">IF('Project Register'!$A293="","",TRIM(IF(OR('Project Register'!E293="",'Project Register'!F293=""),"Missing date. ","")&amp;IF(AND('Project Register'!E293&lt;&gt;"",'Project Register'!F293&lt;&gt;"",'Project Register'!F293&lt;'Project Register'!E293),"End before start. ","")&amp;IF(NOT(ISNUMBER('Project Register'!G293)),"Effort missing. ","")&amp;IF(D293=0,"No resource. ","")&amp;IF(AND('Project Register'!H293&lt;&gt;"",'Project Register'!I293=""),"Role 1 missing. ","")&amp;IF(AND('Project Register'!J293&lt;&gt;"",'Project Register'!K293=""),"Role 2 missing. ","")&amp;IF(AND('Project Register'!L293&lt;&gt;"",'Project Register'!M293=""),"Role 3 missing. ","")&amp;IF(OR(AND('Project Register'!H293&lt;&gt;"",'Project Register'!H293='Project Register'!J293),AND('Project Register'!H293&lt;&gt;"",'Project Register'!H293='Project Register'!L293),AND('Project Register'!J293&lt;&gt;"",'Project Register'!J293='Project Register'!L293)),"Same person listed twice. ","")&amp;IF(AND('Project Register'!H293&lt;&gt;"",COUNTIF(Resources!$A$2:$A$51,'Project Register'!H293)=0),"Resource 1 not in Resources sheet. ","")&amp;IF(AND('Project Register'!J293&lt;&gt;"",COUNTIF(Resources!$A$2:$A$51,'Project Register'!J293)=0),"Resource 2 not in Resources sheet. ","")&amp;IF(AND('Project Register'!L293&lt;&gt;"",COUNTIF(Resources!$A$2:$A$51,'Project Register'!L293)=0),"Resource 3 not in Resources sheet. ","")&amp;IF('Project Register'!O293="","Test Status missing. ","")&amp;IF(AND(ISNUMBER(E293),E293&gt;1),"This task alone needs over 100% per person. ","")&amp;IF(AND('Project Register'!Q293="Deployed in Live",'Project Register'!R293=""),"Release Date blank (import date will be used). ","")))</f>
        <v/>
      </c>
      <c r="G293" s="17" t="str">
        <f aca="false">IF('Project Register'!$A293="","",IF(F293="","OK","Check"))</f>
        <v/>
      </c>
    </row>
    <row r="294" customFormat="false" ht="15" hidden="false" customHeight="false" outlineLevel="0" collapsed="false">
      <c r="A294" s="15" t="str">
        <f aca="false">IF('Project Register'!$A294="","",ROW('Project Register'!A294))</f>
        <v/>
      </c>
      <c r="B294" s="15" t="str">
        <f aca="false">IF('Project Register'!$A294="","",'Project Register'!B294)</f>
        <v/>
      </c>
      <c r="C294" s="15" t="str">
        <f aca="false">IF('Project Register'!$A294="","",IF(OR('Project Register'!E294="",'Project Register'!F294=""),"",IF('Project Register'!F294&lt;'Project Register'!E294,0,NETWORKDAYS.INTL('Project Register'!E294,'Project Register'!F294,"0000110",Holidays_Leave!$A$3:$A$62))))</f>
        <v/>
      </c>
      <c r="D294" s="15" t="str">
        <f aca="false">IF('Project Register'!$A294="","",('Project Register'!H294&lt;&gt;"")+('Project Register'!J294&lt;&gt;"")+('Project Register'!L294&lt;&gt;""))</f>
        <v/>
      </c>
      <c r="E294" s="16" t="str">
        <f aca="false">IF(OR(C294="",D294="",'Project Register'!G294=""),"",IF(OR(C294=0,D294=0),"",'Project Register'!G294/(C294*D294)))</f>
        <v/>
      </c>
      <c r="F294" s="15" t="str">
        <f aca="false">IF('Project Register'!$A294="","",TRIM(IF(OR('Project Register'!E294="",'Project Register'!F294=""),"Missing date. ","")&amp;IF(AND('Project Register'!E294&lt;&gt;"",'Project Register'!F294&lt;&gt;"",'Project Register'!F294&lt;'Project Register'!E294),"End before start. ","")&amp;IF(NOT(ISNUMBER('Project Register'!G294)),"Effort missing. ","")&amp;IF(D294=0,"No resource. ","")&amp;IF(AND('Project Register'!H294&lt;&gt;"",'Project Register'!I294=""),"Role 1 missing. ","")&amp;IF(AND('Project Register'!J294&lt;&gt;"",'Project Register'!K294=""),"Role 2 missing. ","")&amp;IF(AND('Project Register'!L294&lt;&gt;"",'Project Register'!M294=""),"Role 3 missing. ","")&amp;IF(OR(AND('Project Register'!H294&lt;&gt;"",'Project Register'!H294='Project Register'!J294),AND('Project Register'!H294&lt;&gt;"",'Project Register'!H294='Project Register'!L294),AND('Project Register'!J294&lt;&gt;"",'Project Register'!J294='Project Register'!L294)),"Same person listed twice. ","")&amp;IF(AND('Project Register'!H294&lt;&gt;"",COUNTIF(Resources!$A$2:$A$51,'Project Register'!H294)=0),"Resource 1 not in Resources sheet. ","")&amp;IF(AND('Project Register'!J294&lt;&gt;"",COUNTIF(Resources!$A$2:$A$51,'Project Register'!J294)=0),"Resource 2 not in Resources sheet. ","")&amp;IF(AND('Project Register'!L294&lt;&gt;"",COUNTIF(Resources!$A$2:$A$51,'Project Register'!L294)=0),"Resource 3 not in Resources sheet. ","")&amp;IF('Project Register'!O294="","Test Status missing. ","")&amp;IF(AND(ISNUMBER(E294),E294&gt;1),"This task alone needs over 100% per person. ","")&amp;IF(AND('Project Register'!Q294="Deployed in Live",'Project Register'!R294=""),"Release Date blank (import date will be used). ","")))</f>
        <v/>
      </c>
      <c r="G294" s="17" t="str">
        <f aca="false">IF('Project Register'!$A294="","",IF(F294="","OK","Check"))</f>
        <v/>
      </c>
    </row>
    <row r="295" customFormat="false" ht="15" hidden="false" customHeight="false" outlineLevel="0" collapsed="false">
      <c r="A295" s="15" t="str">
        <f aca="false">IF('Project Register'!$A295="","",ROW('Project Register'!A295))</f>
        <v/>
      </c>
      <c r="B295" s="15" t="str">
        <f aca="false">IF('Project Register'!$A295="","",'Project Register'!B295)</f>
        <v/>
      </c>
      <c r="C295" s="15" t="str">
        <f aca="false">IF('Project Register'!$A295="","",IF(OR('Project Register'!E295="",'Project Register'!F295=""),"",IF('Project Register'!F295&lt;'Project Register'!E295,0,NETWORKDAYS.INTL('Project Register'!E295,'Project Register'!F295,"0000110",Holidays_Leave!$A$3:$A$62))))</f>
        <v/>
      </c>
      <c r="D295" s="15" t="str">
        <f aca="false">IF('Project Register'!$A295="","",('Project Register'!H295&lt;&gt;"")+('Project Register'!J295&lt;&gt;"")+('Project Register'!L295&lt;&gt;""))</f>
        <v/>
      </c>
      <c r="E295" s="16" t="str">
        <f aca="false">IF(OR(C295="",D295="",'Project Register'!G295=""),"",IF(OR(C295=0,D295=0),"",'Project Register'!G295/(C295*D295)))</f>
        <v/>
      </c>
      <c r="F295" s="15" t="str">
        <f aca="false">IF('Project Register'!$A295="","",TRIM(IF(OR('Project Register'!E295="",'Project Register'!F295=""),"Missing date. ","")&amp;IF(AND('Project Register'!E295&lt;&gt;"",'Project Register'!F295&lt;&gt;"",'Project Register'!F295&lt;'Project Register'!E295),"End before start. ","")&amp;IF(NOT(ISNUMBER('Project Register'!G295)),"Effort missing. ","")&amp;IF(D295=0,"No resource. ","")&amp;IF(AND('Project Register'!H295&lt;&gt;"",'Project Register'!I295=""),"Role 1 missing. ","")&amp;IF(AND('Project Register'!J295&lt;&gt;"",'Project Register'!K295=""),"Role 2 missing. ","")&amp;IF(AND('Project Register'!L295&lt;&gt;"",'Project Register'!M295=""),"Role 3 missing. ","")&amp;IF(OR(AND('Project Register'!H295&lt;&gt;"",'Project Register'!H295='Project Register'!J295),AND('Project Register'!H295&lt;&gt;"",'Project Register'!H295='Project Register'!L295),AND('Project Register'!J295&lt;&gt;"",'Project Register'!J295='Project Register'!L295)),"Same person listed twice. ","")&amp;IF(AND('Project Register'!H295&lt;&gt;"",COUNTIF(Resources!$A$2:$A$51,'Project Register'!H295)=0),"Resource 1 not in Resources sheet. ","")&amp;IF(AND('Project Register'!J295&lt;&gt;"",COUNTIF(Resources!$A$2:$A$51,'Project Register'!J295)=0),"Resource 2 not in Resources sheet. ","")&amp;IF(AND('Project Register'!L295&lt;&gt;"",COUNTIF(Resources!$A$2:$A$51,'Project Register'!L295)=0),"Resource 3 not in Resources sheet. ","")&amp;IF('Project Register'!O295="","Test Status missing. ","")&amp;IF(AND(ISNUMBER(E295),E295&gt;1),"This task alone needs over 100% per person. ","")&amp;IF(AND('Project Register'!Q295="Deployed in Live",'Project Register'!R295=""),"Release Date blank (import date will be used). ","")))</f>
        <v/>
      </c>
      <c r="G295" s="17" t="str">
        <f aca="false">IF('Project Register'!$A295="","",IF(F295="","OK","Check"))</f>
        <v/>
      </c>
    </row>
    <row r="296" customFormat="false" ht="15" hidden="false" customHeight="false" outlineLevel="0" collapsed="false">
      <c r="A296" s="15" t="str">
        <f aca="false">IF('Project Register'!$A296="","",ROW('Project Register'!A296))</f>
        <v/>
      </c>
      <c r="B296" s="15" t="str">
        <f aca="false">IF('Project Register'!$A296="","",'Project Register'!B296)</f>
        <v/>
      </c>
      <c r="C296" s="15" t="str">
        <f aca="false">IF('Project Register'!$A296="","",IF(OR('Project Register'!E296="",'Project Register'!F296=""),"",IF('Project Register'!F296&lt;'Project Register'!E296,0,NETWORKDAYS.INTL('Project Register'!E296,'Project Register'!F296,"0000110",Holidays_Leave!$A$3:$A$62))))</f>
        <v/>
      </c>
      <c r="D296" s="15" t="str">
        <f aca="false">IF('Project Register'!$A296="","",('Project Register'!H296&lt;&gt;"")+('Project Register'!J296&lt;&gt;"")+('Project Register'!L296&lt;&gt;""))</f>
        <v/>
      </c>
      <c r="E296" s="16" t="str">
        <f aca="false">IF(OR(C296="",D296="",'Project Register'!G296=""),"",IF(OR(C296=0,D296=0),"",'Project Register'!G296/(C296*D296)))</f>
        <v/>
      </c>
      <c r="F296" s="15" t="str">
        <f aca="false">IF('Project Register'!$A296="","",TRIM(IF(OR('Project Register'!E296="",'Project Register'!F296=""),"Missing date. ","")&amp;IF(AND('Project Register'!E296&lt;&gt;"",'Project Register'!F296&lt;&gt;"",'Project Register'!F296&lt;'Project Register'!E296),"End before start. ","")&amp;IF(NOT(ISNUMBER('Project Register'!G296)),"Effort missing. ","")&amp;IF(D296=0,"No resource. ","")&amp;IF(AND('Project Register'!H296&lt;&gt;"",'Project Register'!I296=""),"Role 1 missing. ","")&amp;IF(AND('Project Register'!J296&lt;&gt;"",'Project Register'!K296=""),"Role 2 missing. ","")&amp;IF(AND('Project Register'!L296&lt;&gt;"",'Project Register'!M296=""),"Role 3 missing. ","")&amp;IF(OR(AND('Project Register'!H296&lt;&gt;"",'Project Register'!H296='Project Register'!J296),AND('Project Register'!H296&lt;&gt;"",'Project Register'!H296='Project Register'!L296),AND('Project Register'!J296&lt;&gt;"",'Project Register'!J296='Project Register'!L296)),"Same person listed twice. ","")&amp;IF(AND('Project Register'!H296&lt;&gt;"",COUNTIF(Resources!$A$2:$A$51,'Project Register'!H296)=0),"Resource 1 not in Resources sheet. ","")&amp;IF(AND('Project Register'!J296&lt;&gt;"",COUNTIF(Resources!$A$2:$A$51,'Project Register'!J296)=0),"Resource 2 not in Resources sheet. ","")&amp;IF(AND('Project Register'!L296&lt;&gt;"",COUNTIF(Resources!$A$2:$A$51,'Project Register'!L296)=0),"Resource 3 not in Resources sheet. ","")&amp;IF('Project Register'!O296="","Test Status missing. ","")&amp;IF(AND(ISNUMBER(E296),E296&gt;1),"This task alone needs over 100% per person. ","")&amp;IF(AND('Project Register'!Q296="Deployed in Live",'Project Register'!R296=""),"Release Date blank (import date will be used). ","")))</f>
        <v/>
      </c>
      <c r="G296" s="17" t="str">
        <f aca="false">IF('Project Register'!$A296="","",IF(F296="","OK","Check"))</f>
        <v/>
      </c>
    </row>
    <row r="297" customFormat="false" ht="15" hidden="false" customHeight="false" outlineLevel="0" collapsed="false">
      <c r="A297" s="15" t="str">
        <f aca="false">IF('Project Register'!$A297="","",ROW('Project Register'!A297))</f>
        <v/>
      </c>
      <c r="B297" s="15" t="str">
        <f aca="false">IF('Project Register'!$A297="","",'Project Register'!B297)</f>
        <v/>
      </c>
      <c r="C297" s="15" t="str">
        <f aca="false">IF('Project Register'!$A297="","",IF(OR('Project Register'!E297="",'Project Register'!F297=""),"",IF('Project Register'!F297&lt;'Project Register'!E297,0,NETWORKDAYS.INTL('Project Register'!E297,'Project Register'!F297,"0000110",Holidays_Leave!$A$3:$A$62))))</f>
        <v/>
      </c>
      <c r="D297" s="15" t="str">
        <f aca="false">IF('Project Register'!$A297="","",('Project Register'!H297&lt;&gt;"")+('Project Register'!J297&lt;&gt;"")+('Project Register'!L297&lt;&gt;""))</f>
        <v/>
      </c>
      <c r="E297" s="16" t="str">
        <f aca="false">IF(OR(C297="",D297="",'Project Register'!G297=""),"",IF(OR(C297=0,D297=0),"",'Project Register'!G297/(C297*D297)))</f>
        <v/>
      </c>
      <c r="F297" s="15" t="str">
        <f aca="false">IF('Project Register'!$A297="","",TRIM(IF(OR('Project Register'!E297="",'Project Register'!F297=""),"Missing date. ","")&amp;IF(AND('Project Register'!E297&lt;&gt;"",'Project Register'!F297&lt;&gt;"",'Project Register'!F297&lt;'Project Register'!E297),"End before start. ","")&amp;IF(NOT(ISNUMBER('Project Register'!G297)),"Effort missing. ","")&amp;IF(D297=0,"No resource. ","")&amp;IF(AND('Project Register'!H297&lt;&gt;"",'Project Register'!I297=""),"Role 1 missing. ","")&amp;IF(AND('Project Register'!J297&lt;&gt;"",'Project Register'!K297=""),"Role 2 missing. ","")&amp;IF(AND('Project Register'!L297&lt;&gt;"",'Project Register'!M297=""),"Role 3 missing. ","")&amp;IF(OR(AND('Project Register'!H297&lt;&gt;"",'Project Register'!H297='Project Register'!J297),AND('Project Register'!H297&lt;&gt;"",'Project Register'!H297='Project Register'!L297),AND('Project Register'!J297&lt;&gt;"",'Project Register'!J297='Project Register'!L297)),"Same person listed twice. ","")&amp;IF(AND('Project Register'!H297&lt;&gt;"",COUNTIF(Resources!$A$2:$A$51,'Project Register'!H297)=0),"Resource 1 not in Resources sheet. ","")&amp;IF(AND('Project Register'!J297&lt;&gt;"",COUNTIF(Resources!$A$2:$A$51,'Project Register'!J297)=0),"Resource 2 not in Resources sheet. ","")&amp;IF(AND('Project Register'!L297&lt;&gt;"",COUNTIF(Resources!$A$2:$A$51,'Project Register'!L297)=0),"Resource 3 not in Resources sheet. ","")&amp;IF('Project Register'!O297="","Test Status missing. ","")&amp;IF(AND(ISNUMBER(E297),E297&gt;1),"This task alone needs over 100% per person. ","")&amp;IF(AND('Project Register'!Q297="Deployed in Live",'Project Register'!R297=""),"Release Date blank (import date will be used). ","")))</f>
        <v/>
      </c>
      <c r="G297" s="17" t="str">
        <f aca="false">IF('Project Register'!$A297="","",IF(F297="","OK","Check"))</f>
        <v/>
      </c>
    </row>
    <row r="298" customFormat="false" ht="15" hidden="false" customHeight="false" outlineLevel="0" collapsed="false">
      <c r="A298" s="15" t="str">
        <f aca="false">IF('Project Register'!$A298="","",ROW('Project Register'!A298))</f>
        <v/>
      </c>
      <c r="B298" s="15" t="str">
        <f aca="false">IF('Project Register'!$A298="","",'Project Register'!B298)</f>
        <v/>
      </c>
      <c r="C298" s="15" t="str">
        <f aca="false">IF('Project Register'!$A298="","",IF(OR('Project Register'!E298="",'Project Register'!F298=""),"",IF('Project Register'!F298&lt;'Project Register'!E298,0,NETWORKDAYS.INTL('Project Register'!E298,'Project Register'!F298,"0000110",Holidays_Leave!$A$3:$A$62))))</f>
        <v/>
      </c>
      <c r="D298" s="15" t="str">
        <f aca="false">IF('Project Register'!$A298="","",('Project Register'!H298&lt;&gt;"")+('Project Register'!J298&lt;&gt;"")+('Project Register'!L298&lt;&gt;""))</f>
        <v/>
      </c>
      <c r="E298" s="16" t="str">
        <f aca="false">IF(OR(C298="",D298="",'Project Register'!G298=""),"",IF(OR(C298=0,D298=0),"",'Project Register'!G298/(C298*D298)))</f>
        <v/>
      </c>
      <c r="F298" s="15" t="str">
        <f aca="false">IF('Project Register'!$A298="","",TRIM(IF(OR('Project Register'!E298="",'Project Register'!F298=""),"Missing date. ","")&amp;IF(AND('Project Register'!E298&lt;&gt;"",'Project Register'!F298&lt;&gt;"",'Project Register'!F298&lt;'Project Register'!E298),"End before start. ","")&amp;IF(NOT(ISNUMBER('Project Register'!G298)),"Effort missing. ","")&amp;IF(D298=0,"No resource. ","")&amp;IF(AND('Project Register'!H298&lt;&gt;"",'Project Register'!I298=""),"Role 1 missing. ","")&amp;IF(AND('Project Register'!J298&lt;&gt;"",'Project Register'!K298=""),"Role 2 missing. ","")&amp;IF(AND('Project Register'!L298&lt;&gt;"",'Project Register'!M298=""),"Role 3 missing. ","")&amp;IF(OR(AND('Project Register'!H298&lt;&gt;"",'Project Register'!H298='Project Register'!J298),AND('Project Register'!H298&lt;&gt;"",'Project Register'!H298='Project Register'!L298),AND('Project Register'!J298&lt;&gt;"",'Project Register'!J298='Project Register'!L298)),"Same person listed twice. ","")&amp;IF(AND('Project Register'!H298&lt;&gt;"",COUNTIF(Resources!$A$2:$A$51,'Project Register'!H298)=0),"Resource 1 not in Resources sheet. ","")&amp;IF(AND('Project Register'!J298&lt;&gt;"",COUNTIF(Resources!$A$2:$A$51,'Project Register'!J298)=0),"Resource 2 not in Resources sheet. ","")&amp;IF(AND('Project Register'!L298&lt;&gt;"",COUNTIF(Resources!$A$2:$A$51,'Project Register'!L298)=0),"Resource 3 not in Resources sheet. ","")&amp;IF('Project Register'!O298="","Test Status missing. ","")&amp;IF(AND(ISNUMBER(E298),E298&gt;1),"This task alone needs over 100% per person. ","")&amp;IF(AND('Project Register'!Q298="Deployed in Live",'Project Register'!R298=""),"Release Date blank (import date will be used). ","")))</f>
        <v/>
      </c>
      <c r="G298" s="17" t="str">
        <f aca="false">IF('Project Register'!$A298="","",IF(F298="","OK","Check"))</f>
        <v/>
      </c>
    </row>
    <row r="299" customFormat="false" ht="15" hidden="false" customHeight="false" outlineLevel="0" collapsed="false">
      <c r="A299" s="15" t="str">
        <f aca="false">IF('Project Register'!$A299="","",ROW('Project Register'!A299))</f>
        <v/>
      </c>
      <c r="B299" s="15" t="str">
        <f aca="false">IF('Project Register'!$A299="","",'Project Register'!B299)</f>
        <v/>
      </c>
      <c r="C299" s="15" t="str">
        <f aca="false">IF('Project Register'!$A299="","",IF(OR('Project Register'!E299="",'Project Register'!F299=""),"",IF('Project Register'!F299&lt;'Project Register'!E299,0,NETWORKDAYS.INTL('Project Register'!E299,'Project Register'!F299,"0000110",Holidays_Leave!$A$3:$A$62))))</f>
        <v/>
      </c>
      <c r="D299" s="15" t="str">
        <f aca="false">IF('Project Register'!$A299="","",('Project Register'!H299&lt;&gt;"")+('Project Register'!J299&lt;&gt;"")+('Project Register'!L299&lt;&gt;""))</f>
        <v/>
      </c>
      <c r="E299" s="16" t="str">
        <f aca="false">IF(OR(C299="",D299="",'Project Register'!G299=""),"",IF(OR(C299=0,D299=0),"",'Project Register'!G299/(C299*D299)))</f>
        <v/>
      </c>
      <c r="F299" s="15" t="str">
        <f aca="false">IF('Project Register'!$A299="","",TRIM(IF(OR('Project Register'!E299="",'Project Register'!F299=""),"Missing date. ","")&amp;IF(AND('Project Register'!E299&lt;&gt;"",'Project Register'!F299&lt;&gt;"",'Project Register'!F299&lt;'Project Register'!E299),"End before start. ","")&amp;IF(NOT(ISNUMBER('Project Register'!G299)),"Effort missing. ","")&amp;IF(D299=0,"No resource. ","")&amp;IF(AND('Project Register'!H299&lt;&gt;"",'Project Register'!I299=""),"Role 1 missing. ","")&amp;IF(AND('Project Register'!J299&lt;&gt;"",'Project Register'!K299=""),"Role 2 missing. ","")&amp;IF(AND('Project Register'!L299&lt;&gt;"",'Project Register'!M299=""),"Role 3 missing. ","")&amp;IF(OR(AND('Project Register'!H299&lt;&gt;"",'Project Register'!H299='Project Register'!J299),AND('Project Register'!H299&lt;&gt;"",'Project Register'!H299='Project Register'!L299),AND('Project Register'!J299&lt;&gt;"",'Project Register'!J299='Project Register'!L299)),"Same person listed twice. ","")&amp;IF(AND('Project Register'!H299&lt;&gt;"",COUNTIF(Resources!$A$2:$A$51,'Project Register'!H299)=0),"Resource 1 not in Resources sheet. ","")&amp;IF(AND('Project Register'!J299&lt;&gt;"",COUNTIF(Resources!$A$2:$A$51,'Project Register'!J299)=0),"Resource 2 not in Resources sheet. ","")&amp;IF(AND('Project Register'!L299&lt;&gt;"",COUNTIF(Resources!$A$2:$A$51,'Project Register'!L299)=0),"Resource 3 not in Resources sheet. ","")&amp;IF('Project Register'!O299="","Test Status missing. ","")&amp;IF(AND(ISNUMBER(E299),E299&gt;1),"This task alone needs over 100% per person. ","")&amp;IF(AND('Project Register'!Q299="Deployed in Live",'Project Register'!R299=""),"Release Date blank (import date will be used). ","")))</f>
        <v/>
      </c>
      <c r="G299" s="17" t="str">
        <f aca="false">IF('Project Register'!$A299="","",IF(F299="","OK","Check"))</f>
        <v/>
      </c>
    </row>
    <row r="300" customFormat="false" ht="15" hidden="false" customHeight="false" outlineLevel="0" collapsed="false">
      <c r="A300" s="15" t="str">
        <f aca="false">IF('Project Register'!$A300="","",ROW('Project Register'!A300))</f>
        <v/>
      </c>
      <c r="B300" s="15" t="str">
        <f aca="false">IF('Project Register'!$A300="","",'Project Register'!B300)</f>
        <v/>
      </c>
      <c r="C300" s="15" t="str">
        <f aca="false">IF('Project Register'!$A300="","",IF(OR('Project Register'!E300="",'Project Register'!F300=""),"",IF('Project Register'!F300&lt;'Project Register'!E300,0,NETWORKDAYS.INTL('Project Register'!E300,'Project Register'!F300,"0000110",Holidays_Leave!$A$3:$A$62))))</f>
        <v/>
      </c>
      <c r="D300" s="15" t="str">
        <f aca="false">IF('Project Register'!$A300="","",('Project Register'!H300&lt;&gt;"")+('Project Register'!J300&lt;&gt;"")+('Project Register'!L300&lt;&gt;""))</f>
        <v/>
      </c>
      <c r="E300" s="16" t="str">
        <f aca="false">IF(OR(C300="",D300="",'Project Register'!G300=""),"",IF(OR(C300=0,D300=0),"",'Project Register'!G300/(C300*D300)))</f>
        <v/>
      </c>
      <c r="F300" s="15" t="str">
        <f aca="false">IF('Project Register'!$A300="","",TRIM(IF(OR('Project Register'!E300="",'Project Register'!F300=""),"Missing date. ","")&amp;IF(AND('Project Register'!E300&lt;&gt;"",'Project Register'!F300&lt;&gt;"",'Project Register'!F300&lt;'Project Register'!E300),"End before start. ","")&amp;IF(NOT(ISNUMBER('Project Register'!G300)),"Effort missing. ","")&amp;IF(D300=0,"No resource. ","")&amp;IF(AND('Project Register'!H300&lt;&gt;"",'Project Register'!I300=""),"Role 1 missing. ","")&amp;IF(AND('Project Register'!J300&lt;&gt;"",'Project Register'!K300=""),"Role 2 missing. ","")&amp;IF(AND('Project Register'!L300&lt;&gt;"",'Project Register'!M300=""),"Role 3 missing. ","")&amp;IF(OR(AND('Project Register'!H300&lt;&gt;"",'Project Register'!H300='Project Register'!J300),AND('Project Register'!H300&lt;&gt;"",'Project Register'!H300='Project Register'!L300),AND('Project Register'!J300&lt;&gt;"",'Project Register'!J300='Project Register'!L300)),"Same person listed twice. ","")&amp;IF(AND('Project Register'!H300&lt;&gt;"",COUNTIF(Resources!$A$2:$A$51,'Project Register'!H300)=0),"Resource 1 not in Resources sheet. ","")&amp;IF(AND('Project Register'!J300&lt;&gt;"",COUNTIF(Resources!$A$2:$A$51,'Project Register'!J300)=0),"Resource 2 not in Resources sheet. ","")&amp;IF(AND('Project Register'!L300&lt;&gt;"",COUNTIF(Resources!$A$2:$A$51,'Project Register'!L300)=0),"Resource 3 not in Resources sheet. ","")&amp;IF('Project Register'!O300="","Test Status missing. ","")&amp;IF(AND(ISNUMBER(E300),E300&gt;1),"This task alone needs over 100% per person. ","")&amp;IF(AND('Project Register'!Q300="Deployed in Live",'Project Register'!R300=""),"Release Date blank (import date will be used). ","")))</f>
        <v/>
      </c>
      <c r="G300" s="17" t="str">
        <f aca="false">IF('Project Register'!$A300="","",IF(F300="","OK","Check"))</f>
        <v/>
      </c>
    </row>
    <row r="301" customFormat="false" ht="15" hidden="false" customHeight="false" outlineLevel="0" collapsed="false">
      <c r="A301" s="15" t="str">
        <f aca="false">IF('Project Register'!$A301="","",ROW('Project Register'!A301))</f>
        <v/>
      </c>
      <c r="B301" s="15" t="str">
        <f aca="false">IF('Project Register'!$A301="","",'Project Register'!B301)</f>
        <v/>
      </c>
      <c r="C301" s="15" t="str">
        <f aca="false">IF('Project Register'!$A301="","",IF(OR('Project Register'!E301="",'Project Register'!F301=""),"",IF('Project Register'!F301&lt;'Project Register'!E301,0,NETWORKDAYS.INTL('Project Register'!E301,'Project Register'!F301,"0000110",Holidays_Leave!$A$3:$A$62))))</f>
        <v/>
      </c>
      <c r="D301" s="15" t="str">
        <f aca="false">IF('Project Register'!$A301="","",('Project Register'!H301&lt;&gt;"")+('Project Register'!J301&lt;&gt;"")+('Project Register'!L301&lt;&gt;""))</f>
        <v/>
      </c>
      <c r="E301" s="16" t="str">
        <f aca="false">IF(OR(C301="",D301="",'Project Register'!G301=""),"",IF(OR(C301=0,D301=0),"",'Project Register'!G301/(C301*D301)))</f>
        <v/>
      </c>
      <c r="F301" s="15" t="str">
        <f aca="false">IF('Project Register'!$A301="","",TRIM(IF(OR('Project Register'!E301="",'Project Register'!F301=""),"Missing date. ","")&amp;IF(AND('Project Register'!E301&lt;&gt;"",'Project Register'!F301&lt;&gt;"",'Project Register'!F301&lt;'Project Register'!E301),"End before start. ","")&amp;IF(NOT(ISNUMBER('Project Register'!G301)),"Effort missing. ","")&amp;IF(D301=0,"No resource. ","")&amp;IF(AND('Project Register'!H301&lt;&gt;"",'Project Register'!I301=""),"Role 1 missing. ","")&amp;IF(AND('Project Register'!J301&lt;&gt;"",'Project Register'!K301=""),"Role 2 missing. ","")&amp;IF(AND('Project Register'!L301&lt;&gt;"",'Project Register'!M301=""),"Role 3 missing. ","")&amp;IF(OR(AND('Project Register'!H301&lt;&gt;"",'Project Register'!H301='Project Register'!J301),AND('Project Register'!H301&lt;&gt;"",'Project Register'!H301='Project Register'!L301),AND('Project Register'!J301&lt;&gt;"",'Project Register'!J301='Project Register'!L301)),"Same person listed twice. ","")&amp;IF(AND('Project Register'!H301&lt;&gt;"",COUNTIF(Resources!$A$2:$A$51,'Project Register'!H301)=0),"Resource 1 not in Resources sheet. ","")&amp;IF(AND('Project Register'!J301&lt;&gt;"",COUNTIF(Resources!$A$2:$A$51,'Project Register'!J301)=0),"Resource 2 not in Resources sheet. ","")&amp;IF(AND('Project Register'!L301&lt;&gt;"",COUNTIF(Resources!$A$2:$A$51,'Project Register'!L301)=0),"Resource 3 not in Resources sheet. ","")&amp;IF('Project Register'!O301="","Test Status missing. ","")&amp;IF(AND(ISNUMBER(E301),E301&gt;1),"This task alone needs over 100% per person. ","")&amp;IF(AND('Project Register'!Q301="Deployed in Live",'Project Register'!R301=""),"Release Date blank (import date will be used). ","")))</f>
        <v/>
      </c>
      <c r="G301" s="17" t="str">
        <f aca="false">IF('Project Register'!$A301="","",IF(F301="","OK","Check"))</f>
        <v/>
      </c>
    </row>
    <row r="302" customFormat="false" ht="15" hidden="false" customHeight="false" outlineLevel="0" collapsed="false">
      <c r="A302" s="15" t="str">
        <f aca="false">IF('Project Register'!$A302="","",ROW('Project Register'!A302))</f>
        <v/>
      </c>
      <c r="B302" s="15" t="str">
        <f aca="false">IF('Project Register'!$A302="","",'Project Register'!B302)</f>
        <v/>
      </c>
      <c r="C302" s="15" t="str">
        <f aca="false">IF('Project Register'!$A302="","",IF(OR('Project Register'!E302="",'Project Register'!F302=""),"",IF('Project Register'!F302&lt;'Project Register'!E302,0,NETWORKDAYS.INTL('Project Register'!E302,'Project Register'!F302,"0000110",Holidays_Leave!$A$3:$A$62))))</f>
        <v/>
      </c>
      <c r="D302" s="15" t="str">
        <f aca="false">IF('Project Register'!$A302="","",('Project Register'!H302&lt;&gt;"")+('Project Register'!J302&lt;&gt;"")+('Project Register'!L302&lt;&gt;""))</f>
        <v/>
      </c>
      <c r="E302" s="16" t="str">
        <f aca="false">IF(OR(C302="",D302="",'Project Register'!G302=""),"",IF(OR(C302=0,D302=0),"",'Project Register'!G302/(C302*D302)))</f>
        <v/>
      </c>
      <c r="F302" s="15" t="str">
        <f aca="false">IF('Project Register'!$A302="","",TRIM(IF(OR('Project Register'!E302="",'Project Register'!F302=""),"Missing date. ","")&amp;IF(AND('Project Register'!E302&lt;&gt;"",'Project Register'!F302&lt;&gt;"",'Project Register'!F302&lt;'Project Register'!E302),"End before start. ","")&amp;IF(NOT(ISNUMBER('Project Register'!G302)),"Effort missing. ","")&amp;IF(D302=0,"No resource. ","")&amp;IF(AND('Project Register'!H302&lt;&gt;"",'Project Register'!I302=""),"Role 1 missing. ","")&amp;IF(AND('Project Register'!J302&lt;&gt;"",'Project Register'!K302=""),"Role 2 missing. ","")&amp;IF(AND('Project Register'!L302&lt;&gt;"",'Project Register'!M302=""),"Role 3 missing. ","")&amp;IF(OR(AND('Project Register'!H302&lt;&gt;"",'Project Register'!H302='Project Register'!J302),AND('Project Register'!H302&lt;&gt;"",'Project Register'!H302='Project Register'!L302),AND('Project Register'!J302&lt;&gt;"",'Project Register'!J302='Project Register'!L302)),"Same person listed twice. ","")&amp;IF(AND('Project Register'!H302&lt;&gt;"",COUNTIF(Resources!$A$2:$A$51,'Project Register'!H302)=0),"Resource 1 not in Resources sheet. ","")&amp;IF(AND('Project Register'!J302&lt;&gt;"",COUNTIF(Resources!$A$2:$A$51,'Project Register'!J302)=0),"Resource 2 not in Resources sheet. ","")&amp;IF(AND('Project Register'!L302&lt;&gt;"",COUNTIF(Resources!$A$2:$A$51,'Project Register'!L302)=0),"Resource 3 not in Resources sheet. ","")&amp;IF('Project Register'!O302="","Test Status missing. ","")&amp;IF(AND(ISNUMBER(E302),E302&gt;1),"This task alone needs over 100% per person. ","")&amp;IF(AND('Project Register'!Q302="Deployed in Live",'Project Register'!R302=""),"Release Date blank (import date will be used). ","")))</f>
        <v/>
      </c>
      <c r="G302" s="17" t="str">
        <f aca="false">IF('Project Register'!$A302="","",IF(F302="","OK","Check"))</f>
        <v/>
      </c>
    </row>
    <row r="303" customFormat="false" ht="15" hidden="false" customHeight="false" outlineLevel="0" collapsed="false">
      <c r="A303" s="15" t="str">
        <f aca="false">IF('Project Register'!$A303="","",ROW('Project Register'!A303))</f>
        <v/>
      </c>
      <c r="B303" s="15" t="str">
        <f aca="false">IF('Project Register'!$A303="","",'Project Register'!B303)</f>
        <v/>
      </c>
      <c r="C303" s="15" t="str">
        <f aca="false">IF('Project Register'!$A303="","",IF(OR('Project Register'!E303="",'Project Register'!F303=""),"",IF('Project Register'!F303&lt;'Project Register'!E303,0,NETWORKDAYS.INTL('Project Register'!E303,'Project Register'!F303,"0000110",Holidays_Leave!$A$3:$A$62))))</f>
        <v/>
      </c>
      <c r="D303" s="15" t="str">
        <f aca="false">IF('Project Register'!$A303="","",('Project Register'!H303&lt;&gt;"")+('Project Register'!J303&lt;&gt;"")+('Project Register'!L303&lt;&gt;""))</f>
        <v/>
      </c>
      <c r="E303" s="16" t="str">
        <f aca="false">IF(OR(C303="",D303="",'Project Register'!G303=""),"",IF(OR(C303=0,D303=0),"",'Project Register'!G303/(C303*D303)))</f>
        <v/>
      </c>
      <c r="F303" s="15" t="str">
        <f aca="false">IF('Project Register'!$A303="","",TRIM(IF(OR('Project Register'!E303="",'Project Register'!F303=""),"Missing date. ","")&amp;IF(AND('Project Register'!E303&lt;&gt;"",'Project Register'!F303&lt;&gt;"",'Project Register'!F303&lt;'Project Register'!E303),"End before start. ","")&amp;IF(NOT(ISNUMBER('Project Register'!G303)),"Effort missing. ","")&amp;IF(D303=0,"No resource. ","")&amp;IF(AND('Project Register'!H303&lt;&gt;"",'Project Register'!I303=""),"Role 1 missing. ","")&amp;IF(AND('Project Register'!J303&lt;&gt;"",'Project Register'!K303=""),"Role 2 missing. ","")&amp;IF(AND('Project Register'!L303&lt;&gt;"",'Project Register'!M303=""),"Role 3 missing. ","")&amp;IF(OR(AND('Project Register'!H303&lt;&gt;"",'Project Register'!H303='Project Register'!J303),AND('Project Register'!H303&lt;&gt;"",'Project Register'!H303='Project Register'!L303),AND('Project Register'!J303&lt;&gt;"",'Project Register'!J303='Project Register'!L303)),"Same person listed twice. ","")&amp;IF(AND('Project Register'!H303&lt;&gt;"",COUNTIF(Resources!$A$2:$A$51,'Project Register'!H303)=0),"Resource 1 not in Resources sheet. ","")&amp;IF(AND('Project Register'!J303&lt;&gt;"",COUNTIF(Resources!$A$2:$A$51,'Project Register'!J303)=0),"Resource 2 not in Resources sheet. ","")&amp;IF(AND('Project Register'!L303&lt;&gt;"",COUNTIF(Resources!$A$2:$A$51,'Project Register'!L303)=0),"Resource 3 not in Resources sheet. ","")&amp;IF('Project Register'!O303="","Test Status missing. ","")&amp;IF(AND(ISNUMBER(E303),E303&gt;1),"This task alone needs over 100% per person. ","")&amp;IF(AND('Project Register'!Q303="Deployed in Live",'Project Register'!R303=""),"Release Date blank (import date will be used). ","")))</f>
        <v/>
      </c>
      <c r="G303" s="17" t="str">
        <f aca="false">IF('Project Register'!$A303="","",IF(F303="","OK","Check"))</f>
        <v/>
      </c>
    </row>
    <row r="304" customFormat="false" ht="15" hidden="false" customHeight="false" outlineLevel="0" collapsed="false">
      <c r="A304" s="15" t="str">
        <f aca="false">IF('Project Register'!$A304="","",ROW('Project Register'!A304))</f>
        <v/>
      </c>
      <c r="B304" s="15" t="str">
        <f aca="false">IF('Project Register'!$A304="","",'Project Register'!B304)</f>
        <v/>
      </c>
      <c r="C304" s="15" t="str">
        <f aca="false">IF('Project Register'!$A304="","",IF(OR('Project Register'!E304="",'Project Register'!F304=""),"",IF('Project Register'!F304&lt;'Project Register'!E304,0,NETWORKDAYS.INTL('Project Register'!E304,'Project Register'!F304,"0000110",Holidays_Leave!$A$3:$A$62))))</f>
        <v/>
      </c>
      <c r="D304" s="15" t="str">
        <f aca="false">IF('Project Register'!$A304="","",('Project Register'!H304&lt;&gt;"")+('Project Register'!J304&lt;&gt;"")+('Project Register'!L304&lt;&gt;""))</f>
        <v/>
      </c>
      <c r="E304" s="16" t="str">
        <f aca="false">IF(OR(C304="",D304="",'Project Register'!G304=""),"",IF(OR(C304=0,D304=0),"",'Project Register'!G304/(C304*D304)))</f>
        <v/>
      </c>
      <c r="F304" s="15" t="str">
        <f aca="false">IF('Project Register'!$A304="","",TRIM(IF(OR('Project Register'!E304="",'Project Register'!F304=""),"Missing date. ","")&amp;IF(AND('Project Register'!E304&lt;&gt;"",'Project Register'!F304&lt;&gt;"",'Project Register'!F304&lt;'Project Register'!E304),"End before start. ","")&amp;IF(NOT(ISNUMBER('Project Register'!G304)),"Effort missing. ","")&amp;IF(D304=0,"No resource. ","")&amp;IF(AND('Project Register'!H304&lt;&gt;"",'Project Register'!I304=""),"Role 1 missing. ","")&amp;IF(AND('Project Register'!J304&lt;&gt;"",'Project Register'!K304=""),"Role 2 missing. ","")&amp;IF(AND('Project Register'!L304&lt;&gt;"",'Project Register'!M304=""),"Role 3 missing. ","")&amp;IF(OR(AND('Project Register'!H304&lt;&gt;"",'Project Register'!H304='Project Register'!J304),AND('Project Register'!H304&lt;&gt;"",'Project Register'!H304='Project Register'!L304),AND('Project Register'!J304&lt;&gt;"",'Project Register'!J304='Project Register'!L304)),"Same person listed twice. ","")&amp;IF(AND('Project Register'!H304&lt;&gt;"",COUNTIF(Resources!$A$2:$A$51,'Project Register'!H304)=0),"Resource 1 not in Resources sheet. ","")&amp;IF(AND('Project Register'!J304&lt;&gt;"",COUNTIF(Resources!$A$2:$A$51,'Project Register'!J304)=0),"Resource 2 not in Resources sheet. ","")&amp;IF(AND('Project Register'!L304&lt;&gt;"",COUNTIF(Resources!$A$2:$A$51,'Project Register'!L304)=0),"Resource 3 not in Resources sheet. ","")&amp;IF('Project Register'!O304="","Test Status missing. ","")&amp;IF(AND(ISNUMBER(E304),E304&gt;1),"This task alone needs over 100% per person. ","")&amp;IF(AND('Project Register'!Q304="Deployed in Live",'Project Register'!R304=""),"Release Date blank (import date will be used). ","")))</f>
        <v/>
      </c>
      <c r="G304" s="17" t="str">
        <f aca="false">IF('Project Register'!$A304="","",IF(F304="","OK","Check"))</f>
        <v/>
      </c>
    </row>
    <row r="305" customFormat="false" ht="15" hidden="false" customHeight="false" outlineLevel="0" collapsed="false">
      <c r="A305" s="15" t="str">
        <f aca="false">IF('Project Register'!$A305="","",ROW('Project Register'!A305))</f>
        <v/>
      </c>
      <c r="B305" s="15" t="str">
        <f aca="false">IF('Project Register'!$A305="","",'Project Register'!B305)</f>
        <v/>
      </c>
      <c r="C305" s="15" t="str">
        <f aca="false">IF('Project Register'!$A305="","",IF(OR('Project Register'!E305="",'Project Register'!F305=""),"",IF('Project Register'!F305&lt;'Project Register'!E305,0,NETWORKDAYS.INTL('Project Register'!E305,'Project Register'!F305,"0000110",Holidays_Leave!$A$3:$A$62))))</f>
        <v/>
      </c>
      <c r="D305" s="15" t="str">
        <f aca="false">IF('Project Register'!$A305="","",('Project Register'!H305&lt;&gt;"")+('Project Register'!J305&lt;&gt;"")+('Project Register'!L305&lt;&gt;""))</f>
        <v/>
      </c>
      <c r="E305" s="16" t="str">
        <f aca="false">IF(OR(C305="",D305="",'Project Register'!G305=""),"",IF(OR(C305=0,D305=0),"",'Project Register'!G305/(C305*D305)))</f>
        <v/>
      </c>
      <c r="F305" s="15" t="str">
        <f aca="false">IF('Project Register'!$A305="","",TRIM(IF(OR('Project Register'!E305="",'Project Register'!F305=""),"Missing date. ","")&amp;IF(AND('Project Register'!E305&lt;&gt;"",'Project Register'!F305&lt;&gt;"",'Project Register'!F305&lt;'Project Register'!E305),"End before start. ","")&amp;IF(NOT(ISNUMBER('Project Register'!G305)),"Effort missing. ","")&amp;IF(D305=0,"No resource. ","")&amp;IF(AND('Project Register'!H305&lt;&gt;"",'Project Register'!I305=""),"Role 1 missing. ","")&amp;IF(AND('Project Register'!J305&lt;&gt;"",'Project Register'!K305=""),"Role 2 missing. ","")&amp;IF(AND('Project Register'!L305&lt;&gt;"",'Project Register'!M305=""),"Role 3 missing. ","")&amp;IF(OR(AND('Project Register'!H305&lt;&gt;"",'Project Register'!H305='Project Register'!J305),AND('Project Register'!H305&lt;&gt;"",'Project Register'!H305='Project Register'!L305),AND('Project Register'!J305&lt;&gt;"",'Project Register'!J305='Project Register'!L305)),"Same person listed twice. ","")&amp;IF(AND('Project Register'!H305&lt;&gt;"",COUNTIF(Resources!$A$2:$A$51,'Project Register'!H305)=0),"Resource 1 not in Resources sheet. ","")&amp;IF(AND('Project Register'!J305&lt;&gt;"",COUNTIF(Resources!$A$2:$A$51,'Project Register'!J305)=0),"Resource 2 not in Resources sheet. ","")&amp;IF(AND('Project Register'!L305&lt;&gt;"",COUNTIF(Resources!$A$2:$A$51,'Project Register'!L305)=0),"Resource 3 not in Resources sheet. ","")&amp;IF('Project Register'!O305="","Test Status missing. ","")&amp;IF(AND(ISNUMBER(E305),E305&gt;1),"This task alone needs over 100% per person. ","")&amp;IF(AND('Project Register'!Q305="Deployed in Live",'Project Register'!R305=""),"Release Date blank (import date will be used). ","")))</f>
        <v/>
      </c>
      <c r="G305" s="17" t="str">
        <f aca="false">IF('Project Register'!$A305="","",IF(F305="","OK","Check"))</f>
        <v/>
      </c>
    </row>
    <row r="306" customFormat="false" ht="15" hidden="false" customHeight="false" outlineLevel="0" collapsed="false">
      <c r="A306" s="15" t="str">
        <f aca="false">IF('Project Register'!$A306="","",ROW('Project Register'!A306))</f>
        <v/>
      </c>
      <c r="B306" s="15" t="str">
        <f aca="false">IF('Project Register'!$A306="","",'Project Register'!B306)</f>
        <v/>
      </c>
      <c r="C306" s="15" t="str">
        <f aca="false">IF('Project Register'!$A306="","",IF(OR('Project Register'!E306="",'Project Register'!F306=""),"",IF('Project Register'!F306&lt;'Project Register'!E306,0,NETWORKDAYS.INTL('Project Register'!E306,'Project Register'!F306,"0000110",Holidays_Leave!$A$3:$A$62))))</f>
        <v/>
      </c>
      <c r="D306" s="15" t="str">
        <f aca="false">IF('Project Register'!$A306="","",('Project Register'!H306&lt;&gt;"")+('Project Register'!J306&lt;&gt;"")+('Project Register'!L306&lt;&gt;""))</f>
        <v/>
      </c>
      <c r="E306" s="16" t="str">
        <f aca="false">IF(OR(C306="",D306="",'Project Register'!G306=""),"",IF(OR(C306=0,D306=0),"",'Project Register'!G306/(C306*D306)))</f>
        <v/>
      </c>
      <c r="F306" s="15" t="str">
        <f aca="false">IF('Project Register'!$A306="","",TRIM(IF(OR('Project Register'!E306="",'Project Register'!F306=""),"Missing date. ","")&amp;IF(AND('Project Register'!E306&lt;&gt;"",'Project Register'!F306&lt;&gt;"",'Project Register'!F306&lt;'Project Register'!E306),"End before start. ","")&amp;IF(NOT(ISNUMBER('Project Register'!G306)),"Effort missing. ","")&amp;IF(D306=0,"No resource. ","")&amp;IF(AND('Project Register'!H306&lt;&gt;"",'Project Register'!I306=""),"Role 1 missing. ","")&amp;IF(AND('Project Register'!J306&lt;&gt;"",'Project Register'!K306=""),"Role 2 missing. ","")&amp;IF(AND('Project Register'!L306&lt;&gt;"",'Project Register'!M306=""),"Role 3 missing. ","")&amp;IF(OR(AND('Project Register'!H306&lt;&gt;"",'Project Register'!H306='Project Register'!J306),AND('Project Register'!H306&lt;&gt;"",'Project Register'!H306='Project Register'!L306),AND('Project Register'!J306&lt;&gt;"",'Project Register'!J306='Project Register'!L306)),"Same person listed twice. ","")&amp;IF(AND('Project Register'!H306&lt;&gt;"",COUNTIF(Resources!$A$2:$A$51,'Project Register'!H306)=0),"Resource 1 not in Resources sheet. ","")&amp;IF(AND('Project Register'!J306&lt;&gt;"",COUNTIF(Resources!$A$2:$A$51,'Project Register'!J306)=0),"Resource 2 not in Resources sheet. ","")&amp;IF(AND('Project Register'!L306&lt;&gt;"",COUNTIF(Resources!$A$2:$A$51,'Project Register'!L306)=0),"Resource 3 not in Resources sheet. ","")&amp;IF('Project Register'!O306="","Test Status missing. ","")&amp;IF(AND(ISNUMBER(E306),E306&gt;1),"This task alone needs over 100% per person. ","")&amp;IF(AND('Project Register'!Q306="Deployed in Live",'Project Register'!R306=""),"Release Date blank (import date will be used). ","")))</f>
        <v/>
      </c>
      <c r="G306" s="17" t="str">
        <f aca="false">IF('Project Register'!$A306="","",IF(F306="","OK","Check"))</f>
        <v/>
      </c>
    </row>
    <row r="307" customFormat="false" ht="15" hidden="false" customHeight="false" outlineLevel="0" collapsed="false">
      <c r="A307" s="15" t="str">
        <f aca="false">IF('Project Register'!$A307="","",ROW('Project Register'!A307))</f>
        <v/>
      </c>
      <c r="B307" s="15" t="str">
        <f aca="false">IF('Project Register'!$A307="","",'Project Register'!B307)</f>
        <v/>
      </c>
      <c r="C307" s="15" t="str">
        <f aca="false">IF('Project Register'!$A307="","",IF(OR('Project Register'!E307="",'Project Register'!F307=""),"",IF('Project Register'!F307&lt;'Project Register'!E307,0,NETWORKDAYS.INTL('Project Register'!E307,'Project Register'!F307,"0000110",Holidays_Leave!$A$3:$A$62))))</f>
        <v/>
      </c>
      <c r="D307" s="15" t="str">
        <f aca="false">IF('Project Register'!$A307="","",('Project Register'!H307&lt;&gt;"")+('Project Register'!J307&lt;&gt;"")+('Project Register'!L307&lt;&gt;""))</f>
        <v/>
      </c>
      <c r="E307" s="16" t="str">
        <f aca="false">IF(OR(C307="",D307="",'Project Register'!G307=""),"",IF(OR(C307=0,D307=0),"",'Project Register'!G307/(C307*D307)))</f>
        <v/>
      </c>
      <c r="F307" s="15" t="str">
        <f aca="false">IF('Project Register'!$A307="","",TRIM(IF(OR('Project Register'!E307="",'Project Register'!F307=""),"Missing date. ","")&amp;IF(AND('Project Register'!E307&lt;&gt;"",'Project Register'!F307&lt;&gt;"",'Project Register'!F307&lt;'Project Register'!E307),"End before start. ","")&amp;IF(NOT(ISNUMBER('Project Register'!G307)),"Effort missing. ","")&amp;IF(D307=0,"No resource. ","")&amp;IF(AND('Project Register'!H307&lt;&gt;"",'Project Register'!I307=""),"Role 1 missing. ","")&amp;IF(AND('Project Register'!J307&lt;&gt;"",'Project Register'!K307=""),"Role 2 missing. ","")&amp;IF(AND('Project Register'!L307&lt;&gt;"",'Project Register'!M307=""),"Role 3 missing. ","")&amp;IF(OR(AND('Project Register'!H307&lt;&gt;"",'Project Register'!H307='Project Register'!J307),AND('Project Register'!H307&lt;&gt;"",'Project Register'!H307='Project Register'!L307),AND('Project Register'!J307&lt;&gt;"",'Project Register'!J307='Project Register'!L307)),"Same person listed twice. ","")&amp;IF(AND('Project Register'!H307&lt;&gt;"",COUNTIF(Resources!$A$2:$A$51,'Project Register'!H307)=0),"Resource 1 not in Resources sheet. ","")&amp;IF(AND('Project Register'!J307&lt;&gt;"",COUNTIF(Resources!$A$2:$A$51,'Project Register'!J307)=0),"Resource 2 not in Resources sheet. ","")&amp;IF(AND('Project Register'!L307&lt;&gt;"",COUNTIF(Resources!$A$2:$A$51,'Project Register'!L307)=0),"Resource 3 not in Resources sheet. ","")&amp;IF('Project Register'!O307="","Test Status missing. ","")&amp;IF(AND(ISNUMBER(E307),E307&gt;1),"This task alone needs over 100% per person. ","")&amp;IF(AND('Project Register'!Q307="Deployed in Live",'Project Register'!R307=""),"Release Date blank (import date will be used). ","")))</f>
        <v/>
      </c>
      <c r="G307" s="17" t="str">
        <f aca="false">IF('Project Register'!$A307="","",IF(F307="","OK","Check"))</f>
        <v/>
      </c>
    </row>
    <row r="308" customFormat="false" ht="15" hidden="false" customHeight="false" outlineLevel="0" collapsed="false">
      <c r="A308" s="15" t="str">
        <f aca="false">IF('Project Register'!$A308="","",ROW('Project Register'!A308))</f>
        <v/>
      </c>
      <c r="B308" s="15" t="str">
        <f aca="false">IF('Project Register'!$A308="","",'Project Register'!B308)</f>
        <v/>
      </c>
      <c r="C308" s="15" t="str">
        <f aca="false">IF('Project Register'!$A308="","",IF(OR('Project Register'!E308="",'Project Register'!F308=""),"",IF('Project Register'!F308&lt;'Project Register'!E308,0,NETWORKDAYS.INTL('Project Register'!E308,'Project Register'!F308,"0000110",Holidays_Leave!$A$3:$A$62))))</f>
        <v/>
      </c>
      <c r="D308" s="15" t="str">
        <f aca="false">IF('Project Register'!$A308="","",('Project Register'!H308&lt;&gt;"")+('Project Register'!J308&lt;&gt;"")+('Project Register'!L308&lt;&gt;""))</f>
        <v/>
      </c>
      <c r="E308" s="16" t="str">
        <f aca="false">IF(OR(C308="",D308="",'Project Register'!G308=""),"",IF(OR(C308=0,D308=0),"",'Project Register'!G308/(C308*D308)))</f>
        <v/>
      </c>
      <c r="F308" s="15" t="str">
        <f aca="false">IF('Project Register'!$A308="","",TRIM(IF(OR('Project Register'!E308="",'Project Register'!F308=""),"Missing date. ","")&amp;IF(AND('Project Register'!E308&lt;&gt;"",'Project Register'!F308&lt;&gt;"",'Project Register'!F308&lt;'Project Register'!E308),"End before start. ","")&amp;IF(NOT(ISNUMBER('Project Register'!G308)),"Effort missing. ","")&amp;IF(D308=0,"No resource. ","")&amp;IF(AND('Project Register'!H308&lt;&gt;"",'Project Register'!I308=""),"Role 1 missing. ","")&amp;IF(AND('Project Register'!J308&lt;&gt;"",'Project Register'!K308=""),"Role 2 missing. ","")&amp;IF(AND('Project Register'!L308&lt;&gt;"",'Project Register'!M308=""),"Role 3 missing. ","")&amp;IF(OR(AND('Project Register'!H308&lt;&gt;"",'Project Register'!H308='Project Register'!J308),AND('Project Register'!H308&lt;&gt;"",'Project Register'!H308='Project Register'!L308),AND('Project Register'!J308&lt;&gt;"",'Project Register'!J308='Project Register'!L308)),"Same person listed twice. ","")&amp;IF(AND('Project Register'!H308&lt;&gt;"",COUNTIF(Resources!$A$2:$A$51,'Project Register'!H308)=0),"Resource 1 not in Resources sheet. ","")&amp;IF(AND('Project Register'!J308&lt;&gt;"",COUNTIF(Resources!$A$2:$A$51,'Project Register'!J308)=0),"Resource 2 not in Resources sheet. ","")&amp;IF(AND('Project Register'!L308&lt;&gt;"",COUNTIF(Resources!$A$2:$A$51,'Project Register'!L308)=0),"Resource 3 not in Resources sheet. ","")&amp;IF('Project Register'!O308="","Test Status missing. ","")&amp;IF(AND(ISNUMBER(E308),E308&gt;1),"This task alone needs over 100% per person. ","")&amp;IF(AND('Project Register'!Q308="Deployed in Live",'Project Register'!R308=""),"Release Date blank (import date will be used). ","")))</f>
        <v/>
      </c>
      <c r="G308" s="17" t="str">
        <f aca="false">IF('Project Register'!$A308="","",IF(F308="","OK","Check"))</f>
        <v/>
      </c>
    </row>
    <row r="309" customFormat="false" ht="15" hidden="false" customHeight="false" outlineLevel="0" collapsed="false">
      <c r="A309" s="15" t="str">
        <f aca="false">IF('Project Register'!$A309="","",ROW('Project Register'!A309))</f>
        <v/>
      </c>
      <c r="B309" s="15" t="str">
        <f aca="false">IF('Project Register'!$A309="","",'Project Register'!B309)</f>
        <v/>
      </c>
      <c r="C309" s="15" t="str">
        <f aca="false">IF('Project Register'!$A309="","",IF(OR('Project Register'!E309="",'Project Register'!F309=""),"",IF('Project Register'!F309&lt;'Project Register'!E309,0,NETWORKDAYS.INTL('Project Register'!E309,'Project Register'!F309,"0000110",Holidays_Leave!$A$3:$A$62))))</f>
        <v/>
      </c>
      <c r="D309" s="15" t="str">
        <f aca="false">IF('Project Register'!$A309="","",('Project Register'!H309&lt;&gt;"")+('Project Register'!J309&lt;&gt;"")+('Project Register'!L309&lt;&gt;""))</f>
        <v/>
      </c>
      <c r="E309" s="16" t="str">
        <f aca="false">IF(OR(C309="",D309="",'Project Register'!G309=""),"",IF(OR(C309=0,D309=0),"",'Project Register'!G309/(C309*D309)))</f>
        <v/>
      </c>
      <c r="F309" s="15" t="str">
        <f aca="false">IF('Project Register'!$A309="","",TRIM(IF(OR('Project Register'!E309="",'Project Register'!F309=""),"Missing date. ","")&amp;IF(AND('Project Register'!E309&lt;&gt;"",'Project Register'!F309&lt;&gt;"",'Project Register'!F309&lt;'Project Register'!E309),"End before start. ","")&amp;IF(NOT(ISNUMBER('Project Register'!G309)),"Effort missing. ","")&amp;IF(D309=0,"No resource. ","")&amp;IF(AND('Project Register'!H309&lt;&gt;"",'Project Register'!I309=""),"Role 1 missing. ","")&amp;IF(AND('Project Register'!J309&lt;&gt;"",'Project Register'!K309=""),"Role 2 missing. ","")&amp;IF(AND('Project Register'!L309&lt;&gt;"",'Project Register'!M309=""),"Role 3 missing. ","")&amp;IF(OR(AND('Project Register'!H309&lt;&gt;"",'Project Register'!H309='Project Register'!J309),AND('Project Register'!H309&lt;&gt;"",'Project Register'!H309='Project Register'!L309),AND('Project Register'!J309&lt;&gt;"",'Project Register'!J309='Project Register'!L309)),"Same person listed twice. ","")&amp;IF(AND('Project Register'!H309&lt;&gt;"",COUNTIF(Resources!$A$2:$A$51,'Project Register'!H309)=0),"Resource 1 not in Resources sheet. ","")&amp;IF(AND('Project Register'!J309&lt;&gt;"",COUNTIF(Resources!$A$2:$A$51,'Project Register'!J309)=0),"Resource 2 not in Resources sheet. ","")&amp;IF(AND('Project Register'!L309&lt;&gt;"",COUNTIF(Resources!$A$2:$A$51,'Project Register'!L309)=0),"Resource 3 not in Resources sheet. ","")&amp;IF('Project Register'!O309="","Test Status missing. ","")&amp;IF(AND(ISNUMBER(E309),E309&gt;1),"This task alone needs over 100% per person. ","")&amp;IF(AND('Project Register'!Q309="Deployed in Live",'Project Register'!R309=""),"Release Date blank (import date will be used). ","")))</f>
        <v/>
      </c>
      <c r="G309" s="17" t="str">
        <f aca="false">IF('Project Register'!$A309="","",IF(F309="","OK","Check"))</f>
        <v/>
      </c>
    </row>
    <row r="310" customFormat="false" ht="15" hidden="false" customHeight="false" outlineLevel="0" collapsed="false">
      <c r="A310" s="15" t="str">
        <f aca="false">IF('Project Register'!$A310="","",ROW('Project Register'!A310))</f>
        <v/>
      </c>
      <c r="B310" s="15" t="str">
        <f aca="false">IF('Project Register'!$A310="","",'Project Register'!B310)</f>
        <v/>
      </c>
      <c r="C310" s="15" t="str">
        <f aca="false">IF('Project Register'!$A310="","",IF(OR('Project Register'!E310="",'Project Register'!F310=""),"",IF('Project Register'!F310&lt;'Project Register'!E310,0,NETWORKDAYS.INTL('Project Register'!E310,'Project Register'!F310,"0000110",Holidays_Leave!$A$3:$A$62))))</f>
        <v/>
      </c>
      <c r="D310" s="15" t="str">
        <f aca="false">IF('Project Register'!$A310="","",('Project Register'!H310&lt;&gt;"")+('Project Register'!J310&lt;&gt;"")+('Project Register'!L310&lt;&gt;""))</f>
        <v/>
      </c>
      <c r="E310" s="16" t="str">
        <f aca="false">IF(OR(C310="",D310="",'Project Register'!G310=""),"",IF(OR(C310=0,D310=0),"",'Project Register'!G310/(C310*D310)))</f>
        <v/>
      </c>
      <c r="F310" s="15" t="str">
        <f aca="false">IF('Project Register'!$A310="","",TRIM(IF(OR('Project Register'!E310="",'Project Register'!F310=""),"Missing date. ","")&amp;IF(AND('Project Register'!E310&lt;&gt;"",'Project Register'!F310&lt;&gt;"",'Project Register'!F310&lt;'Project Register'!E310),"End before start. ","")&amp;IF(NOT(ISNUMBER('Project Register'!G310)),"Effort missing. ","")&amp;IF(D310=0,"No resource. ","")&amp;IF(AND('Project Register'!H310&lt;&gt;"",'Project Register'!I310=""),"Role 1 missing. ","")&amp;IF(AND('Project Register'!J310&lt;&gt;"",'Project Register'!K310=""),"Role 2 missing. ","")&amp;IF(AND('Project Register'!L310&lt;&gt;"",'Project Register'!M310=""),"Role 3 missing. ","")&amp;IF(OR(AND('Project Register'!H310&lt;&gt;"",'Project Register'!H310='Project Register'!J310),AND('Project Register'!H310&lt;&gt;"",'Project Register'!H310='Project Register'!L310),AND('Project Register'!J310&lt;&gt;"",'Project Register'!J310='Project Register'!L310)),"Same person listed twice. ","")&amp;IF(AND('Project Register'!H310&lt;&gt;"",COUNTIF(Resources!$A$2:$A$51,'Project Register'!H310)=0),"Resource 1 not in Resources sheet. ","")&amp;IF(AND('Project Register'!J310&lt;&gt;"",COUNTIF(Resources!$A$2:$A$51,'Project Register'!J310)=0),"Resource 2 not in Resources sheet. ","")&amp;IF(AND('Project Register'!L310&lt;&gt;"",COUNTIF(Resources!$A$2:$A$51,'Project Register'!L310)=0),"Resource 3 not in Resources sheet. ","")&amp;IF('Project Register'!O310="","Test Status missing. ","")&amp;IF(AND(ISNUMBER(E310),E310&gt;1),"This task alone needs over 100% per person. ","")&amp;IF(AND('Project Register'!Q310="Deployed in Live",'Project Register'!R310=""),"Release Date blank (import date will be used). ","")))</f>
        <v/>
      </c>
      <c r="G310" s="17" t="str">
        <f aca="false">IF('Project Register'!$A310="","",IF(F310="","OK","Check"))</f>
        <v/>
      </c>
    </row>
    <row r="311" customFormat="false" ht="15" hidden="false" customHeight="false" outlineLevel="0" collapsed="false">
      <c r="A311" s="15" t="str">
        <f aca="false">IF('Project Register'!$A311="","",ROW('Project Register'!A311))</f>
        <v/>
      </c>
      <c r="B311" s="15" t="str">
        <f aca="false">IF('Project Register'!$A311="","",'Project Register'!B311)</f>
        <v/>
      </c>
      <c r="C311" s="15" t="str">
        <f aca="false">IF('Project Register'!$A311="","",IF(OR('Project Register'!E311="",'Project Register'!F311=""),"",IF('Project Register'!F311&lt;'Project Register'!E311,0,NETWORKDAYS.INTL('Project Register'!E311,'Project Register'!F311,"0000110",Holidays_Leave!$A$3:$A$62))))</f>
        <v/>
      </c>
      <c r="D311" s="15" t="str">
        <f aca="false">IF('Project Register'!$A311="","",('Project Register'!H311&lt;&gt;"")+('Project Register'!J311&lt;&gt;"")+('Project Register'!L311&lt;&gt;""))</f>
        <v/>
      </c>
      <c r="E311" s="16" t="str">
        <f aca="false">IF(OR(C311="",D311="",'Project Register'!G311=""),"",IF(OR(C311=0,D311=0),"",'Project Register'!G311/(C311*D311)))</f>
        <v/>
      </c>
      <c r="F311" s="15" t="str">
        <f aca="false">IF('Project Register'!$A311="","",TRIM(IF(OR('Project Register'!E311="",'Project Register'!F311=""),"Missing date. ","")&amp;IF(AND('Project Register'!E311&lt;&gt;"",'Project Register'!F311&lt;&gt;"",'Project Register'!F311&lt;'Project Register'!E311),"End before start. ","")&amp;IF(NOT(ISNUMBER('Project Register'!G311)),"Effort missing. ","")&amp;IF(D311=0,"No resource. ","")&amp;IF(AND('Project Register'!H311&lt;&gt;"",'Project Register'!I311=""),"Role 1 missing. ","")&amp;IF(AND('Project Register'!J311&lt;&gt;"",'Project Register'!K311=""),"Role 2 missing. ","")&amp;IF(AND('Project Register'!L311&lt;&gt;"",'Project Register'!M311=""),"Role 3 missing. ","")&amp;IF(OR(AND('Project Register'!H311&lt;&gt;"",'Project Register'!H311='Project Register'!J311),AND('Project Register'!H311&lt;&gt;"",'Project Register'!H311='Project Register'!L311),AND('Project Register'!J311&lt;&gt;"",'Project Register'!J311='Project Register'!L311)),"Same person listed twice. ","")&amp;IF(AND('Project Register'!H311&lt;&gt;"",COUNTIF(Resources!$A$2:$A$51,'Project Register'!H311)=0),"Resource 1 not in Resources sheet. ","")&amp;IF(AND('Project Register'!J311&lt;&gt;"",COUNTIF(Resources!$A$2:$A$51,'Project Register'!J311)=0),"Resource 2 not in Resources sheet. ","")&amp;IF(AND('Project Register'!L311&lt;&gt;"",COUNTIF(Resources!$A$2:$A$51,'Project Register'!L311)=0),"Resource 3 not in Resources sheet. ","")&amp;IF('Project Register'!O311="","Test Status missing. ","")&amp;IF(AND(ISNUMBER(E311),E311&gt;1),"This task alone needs over 100% per person. ","")&amp;IF(AND('Project Register'!Q311="Deployed in Live",'Project Register'!R311=""),"Release Date blank (import date will be used). ","")))</f>
        <v/>
      </c>
      <c r="G311" s="17" t="str">
        <f aca="false">IF('Project Register'!$A311="","",IF(F311="","OK","Check"))</f>
        <v/>
      </c>
    </row>
    <row r="312" customFormat="false" ht="15" hidden="false" customHeight="false" outlineLevel="0" collapsed="false">
      <c r="A312" s="15" t="str">
        <f aca="false">IF('Project Register'!$A312="","",ROW('Project Register'!A312))</f>
        <v/>
      </c>
      <c r="B312" s="15" t="str">
        <f aca="false">IF('Project Register'!$A312="","",'Project Register'!B312)</f>
        <v/>
      </c>
      <c r="C312" s="15" t="str">
        <f aca="false">IF('Project Register'!$A312="","",IF(OR('Project Register'!E312="",'Project Register'!F312=""),"",IF('Project Register'!F312&lt;'Project Register'!E312,0,NETWORKDAYS.INTL('Project Register'!E312,'Project Register'!F312,"0000110",Holidays_Leave!$A$3:$A$62))))</f>
        <v/>
      </c>
      <c r="D312" s="15" t="str">
        <f aca="false">IF('Project Register'!$A312="","",('Project Register'!H312&lt;&gt;"")+('Project Register'!J312&lt;&gt;"")+('Project Register'!L312&lt;&gt;""))</f>
        <v/>
      </c>
      <c r="E312" s="16" t="str">
        <f aca="false">IF(OR(C312="",D312="",'Project Register'!G312=""),"",IF(OR(C312=0,D312=0),"",'Project Register'!G312/(C312*D312)))</f>
        <v/>
      </c>
      <c r="F312" s="15" t="str">
        <f aca="false">IF('Project Register'!$A312="","",TRIM(IF(OR('Project Register'!E312="",'Project Register'!F312=""),"Missing date. ","")&amp;IF(AND('Project Register'!E312&lt;&gt;"",'Project Register'!F312&lt;&gt;"",'Project Register'!F312&lt;'Project Register'!E312),"End before start. ","")&amp;IF(NOT(ISNUMBER('Project Register'!G312)),"Effort missing. ","")&amp;IF(D312=0,"No resource. ","")&amp;IF(AND('Project Register'!H312&lt;&gt;"",'Project Register'!I312=""),"Role 1 missing. ","")&amp;IF(AND('Project Register'!J312&lt;&gt;"",'Project Register'!K312=""),"Role 2 missing. ","")&amp;IF(AND('Project Register'!L312&lt;&gt;"",'Project Register'!M312=""),"Role 3 missing. ","")&amp;IF(OR(AND('Project Register'!H312&lt;&gt;"",'Project Register'!H312='Project Register'!J312),AND('Project Register'!H312&lt;&gt;"",'Project Register'!H312='Project Register'!L312),AND('Project Register'!J312&lt;&gt;"",'Project Register'!J312='Project Register'!L312)),"Same person listed twice. ","")&amp;IF(AND('Project Register'!H312&lt;&gt;"",COUNTIF(Resources!$A$2:$A$51,'Project Register'!H312)=0),"Resource 1 not in Resources sheet. ","")&amp;IF(AND('Project Register'!J312&lt;&gt;"",COUNTIF(Resources!$A$2:$A$51,'Project Register'!J312)=0),"Resource 2 not in Resources sheet. ","")&amp;IF(AND('Project Register'!L312&lt;&gt;"",COUNTIF(Resources!$A$2:$A$51,'Project Register'!L312)=0),"Resource 3 not in Resources sheet. ","")&amp;IF('Project Register'!O312="","Test Status missing. ","")&amp;IF(AND(ISNUMBER(E312),E312&gt;1),"This task alone needs over 100% per person. ","")&amp;IF(AND('Project Register'!Q312="Deployed in Live",'Project Register'!R312=""),"Release Date blank (import date will be used). ","")))</f>
        <v/>
      </c>
      <c r="G312" s="17" t="str">
        <f aca="false">IF('Project Register'!$A312="","",IF(F312="","OK","Check"))</f>
        <v/>
      </c>
    </row>
    <row r="313" customFormat="false" ht="15" hidden="false" customHeight="false" outlineLevel="0" collapsed="false">
      <c r="A313" s="15" t="str">
        <f aca="false">IF('Project Register'!$A313="","",ROW('Project Register'!A313))</f>
        <v/>
      </c>
      <c r="B313" s="15" t="str">
        <f aca="false">IF('Project Register'!$A313="","",'Project Register'!B313)</f>
        <v/>
      </c>
      <c r="C313" s="15" t="str">
        <f aca="false">IF('Project Register'!$A313="","",IF(OR('Project Register'!E313="",'Project Register'!F313=""),"",IF('Project Register'!F313&lt;'Project Register'!E313,0,NETWORKDAYS.INTL('Project Register'!E313,'Project Register'!F313,"0000110",Holidays_Leave!$A$3:$A$62))))</f>
        <v/>
      </c>
      <c r="D313" s="15" t="str">
        <f aca="false">IF('Project Register'!$A313="","",('Project Register'!H313&lt;&gt;"")+('Project Register'!J313&lt;&gt;"")+('Project Register'!L313&lt;&gt;""))</f>
        <v/>
      </c>
      <c r="E313" s="16" t="str">
        <f aca="false">IF(OR(C313="",D313="",'Project Register'!G313=""),"",IF(OR(C313=0,D313=0),"",'Project Register'!G313/(C313*D313)))</f>
        <v/>
      </c>
      <c r="F313" s="15" t="str">
        <f aca="false">IF('Project Register'!$A313="","",TRIM(IF(OR('Project Register'!E313="",'Project Register'!F313=""),"Missing date. ","")&amp;IF(AND('Project Register'!E313&lt;&gt;"",'Project Register'!F313&lt;&gt;"",'Project Register'!F313&lt;'Project Register'!E313),"End before start. ","")&amp;IF(NOT(ISNUMBER('Project Register'!G313)),"Effort missing. ","")&amp;IF(D313=0,"No resource. ","")&amp;IF(AND('Project Register'!H313&lt;&gt;"",'Project Register'!I313=""),"Role 1 missing. ","")&amp;IF(AND('Project Register'!J313&lt;&gt;"",'Project Register'!K313=""),"Role 2 missing. ","")&amp;IF(AND('Project Register'!L313&lt;&gt;"",'Project Register'!M313=""),"Role 3 missing. ","")&amp;IF(OR(AND('Project Register'!H313&lt;&gt;"",'Project Register'!H313='Project Register'!J313),AND('Project Register'!H313&lt;&gt;"",'Project Register'!H313='Project Register'!L313),AND('Project Register'!J313&lt;&gt;"",'Project Register'!J313='Project Register'!L313)),"Same person listed twice. ","")&amp;IF(AND('Project Register'!H313&lt;&gt;"",COUNTIF(Resources!$A$2:$A$51,'Project Register'!H313)=0),"Resource 1 not in Resources sheet. ","")&amp;IF(AND('Project Register'!J313&lt;&gt;"",COUNTIF(Resources!$A$2:$A$51,'Project Register'!J313)=0),"Resource 2 not in Resources sheet. ","")&amp;IF(AND('Project Register'!L313&lt;&gt;"",COUNTIF(Resources!$A$2:$A$51,'Project Register'!L313)=0),"Resource 3 not in Resources sheet. ","")&amp;IF('Project Register'!O313="","Test Status missing. ","")&amp;IF(AND(ISNUMBER(E313),E313&gt;1),"This task alone needs over 100% per person. ","")&amp;IF(AND('Project Register'!Q313="Deployed in Live",'Project Register'!R313=""),"Release Date blank (import date will be used). ","")))</f>
        <v/>
      </c>
      <c r="G313" s="17" t="str">
        <f aca="false">IF('Project Register'!$A313="","",IF(F313="","OK","Check"))</f>
        <v/>
      </c>
    </row>
    <row r="314" customFormat="false" ht="15" hidden="false" customHeight="false" outlineLevel="0" collapsed="false">
      <c r="A314" s="15" t="str">
        <f aca="false">IF('Project Register'!$A314="","",ROW('Project Register'!A314))</f>
        <v/>
      </c>
      <c r="B314" s="15" t="str">
        <f aca="false">IF('Project Register'!$A314="","",'Project Register'!B314)</f>
        <v/>
      </c>
      <c r="C314" s="15" t="str">
        <f aca="false">IF('Project Register'!$A314="","",IF(OR('Project Register'!E314="",'Project Register'!F314=""),"",IF('Project Register'!F314&lt;'Project Register'!E314,0,NETWORKDAYS.INTL('Project Register'!E314,'Project Register'!F314,"0000110",Holidays_Leave!$A$3:$A$62))))</f>
        <v/>
      </c>
      <c r="D314" s="15" t="str">
        <f aca="false">IF('Project Register'!$A314="","",('Project Register'!H314&lt;&gt;"")+('Project Register'!J314&lt;&gt;"")+('Project Register'!L314&lt;&gt;""))</f>
        <v/>
      </c>
      <c r="E314" s="16" t="str">
        <f aca="false">IF(OR(C314="",D314="",'Project Register'!G314=""),"",IF(OR(C314=0,D314=0),"",'Project Register'!G314/(C314*D314)))</f>
        <v/>
      </c>
      <c r="F314" s="15" t="str">
        <f aca="false">IF('Project Register'!$A314="","",TRIM(IF(OR('Project Register'!E314="",'Project Register'!F314=""),"Missing date. ","")&amp;IF(AND('Project Register'!E314&lt;&gt;"",'Project Register'!F314&lt;&gt;"",'Project Register'!F314&lt;'Project Register'!E314),"End before start. ","")&amp;IF(NOT(ISNUMBER('Project Register'!G314)),"Effort missing. ","")&amp;IF(D314=0,"No resource. ","")&amp;IF(AND('Project Register'!H314&lt;&gt;"",'Project Register'!I314=""),"Role 1 missing. ","")&amp;IF(AND('Project Register'!J314&lt;&gt;"",'Project Register'!K314=""),"Role 2 missing. ","")&amp;IF(AND('Project Register'!L314&lt;&gt;"",'Project Register'!M314=""),"Role 3 missing. ","")&amp;IF(OR(AND('Project Register'!H314&lt;&gt;"",'Project Register'!H314='Project Register'!J314),AND('Project Register'!H314&lt;&gt;"",'Project Register'!H314='Project Register'!L314),AND('Project Register'!J314&lt;&gt;"",'Project Register'!J314='Project Register'!L314)),"Same person listed twice. ","")&amp;IF(AND('Project Register'!H314&lt;&gt;"",COUNTIF(Resources!$A$2:$A$51,'Project Register'!H314)=0),"Resource 1 not in Resources sheet. ","")&amp;IF(AND('Project Register'!J314&lt;&gt;"",COUNTIF(Resources!$A$2:$A$51,'Project Register'!J314)=0),"Resource 2 not in Resources sheet. ","")&amp;IF(AND('Project Register'!L314&lt;&gt;"",COUNTIF(Resources!$A$2:$A$51,'Project Register'!L314)=0),"Resource 3 not in Resources sheet. ","")&amp;IF('Project Register'!O314="","Test Status missing. ","")&amp;IF(AND(ISNUMBER(E314),E314&gt;1),"This task alone needs over 100% per person. ","")&amp;IF(AND('Project Register'!Q314="Deployed in Live",'Project Register'!R314=""),"Release Date blank (import date will be used). ","")))</f>
        <v/>
      </c>
      <c r="G314" s="17" t="str">
        <f aca="false">IF('Project Register'!$A314="","",IF(F314="","OK","Check"))</f>
        <v/>
      </c>
    </row>
    <row r="315" customFormat="false" ht="15" hidden="false" customHeight="false" outlineLevel="0" collapsed="false">
      <c r="A315" s="15" t="str">
        <f aca="false">IF('Project Register'!$A315="","",ROW('Project Register'!A315))</f>
        <v/>
      </c>
      <c r="B315" s="15" t="str">
        <f aca="false">IF('Project Register'!$A315="","",'Project Register'!B315)</f>
        <v/>
      </c>
      <c r="C315" s="15" t="str">
        <f aca="false">IF('Project Register'!$A315="","",IF(OR('Project Register'!E315="",'Project Register'!F315=""),"",IF('Project Register'!F315&lt;'Project Register'!E315,0,NETWORKDAYS.INTL('Project Register'!E315,'Project Register'!F315,"0000110",Holidays_Leave!$A$3:$A$62))))</f>
        <v/>
      </c>
      <c r="D315" s="15" t="str">
        <f aca="false">IF('Project Register'!$A315="","",('Project Register'!H315&lt;&gt;"")+('Project Register'!J315&lt;&gt;"")+('Project Register'!L315&lt;&gt;""))</f>
        <v/>
      </c>
      <c r="E315" s="16" t="str">
        <f aca="false">IF(OR(C315="",D315="",'Project Register'!G315=""),"",IF(OR(C315=0,D315=0),"",'Project Register'!G315/(C315*D315)))</f>
        <v/>
      </c>
      <c r="F315" s="15" t="str">
        <f aca="false">IF('Project Register'!$A315="","",TRIM(IF(OR('Project Register'!E315="",'Project Register'!F315=""),"Missing date. ","")&amp;IF(AND('Project Register'!E315&lt;&gt;"",'Project Register'!F315&lt;&gt;"",'Project Register'!F315&lt;'Project Register'!E315),"End before start. ","")&amp;IF(NOT(ISNUMBER('Project Register'!G315)),"Effort missing. ","")&amp;IF(D315=0,"No resource. ","")&amp;IF(AND('Project Register'!H315&lt;&gt;"",'Project Register'!I315=""),"Role 1 missing. ","")&amp;IF(AND('Project Register'!J315&lt;&gt;"",'Project Register'!K315=""),"Role 2 missing. ","")&amp;IF(AND('Project Register'!L315&lt;&gt;"",'Project Register'!M315=""),"Role 3 missing. ","")&amp;IF(OR(AND('Project Register'!H315&lt;&gt;"",'Project Register'!H315='Project Register'!J315),AND('Project Register'!H315&lt;&gt;"",'Project Register'!H315='Project Register'!L315),AND('Project Register'!J315&lt;&gt;"",'Project Register'!J315='Project Register'!L315)),"Same person listed twice. ","")&amp;IF(AND('Project Register'!H315&lt;&gt;"",COUNTIF(Resources!$A$2:$A$51,'Project Register'!H315)=0),"Resource 1 not in Resources sheet. ","")&amp;IF(AND('Project Register'!J315&lt;&gt;"",COUNTIF(Resources!$A$2:$A$51,'Project Register'!J315)=0),"Resource 2 not in Resources sheet. ","")&amp;IF(AND('Project Register'!L315&lt;&gt;"",COUNTIF(Resources!$A$2:$A$51,'Project Register'!L315)=0),"Resource 3 not in Resources sheet. ","")&amp;IF('Project Register'!O315="","Test Status missing. ","")&amp;IF(AND(ISNUMBER(E315),E315&gt;1),"This task alone needs over 100% per person. ","")&amp;IF(AND('Project Register'!Q315="Deployed in Live",'Project Register'!R315=""),"Release Date blank (import date will be used). ","")))</f>
        <v/>
      </c>
      <c r="G315" s="17" t="str">
        <f aca="false">IF('Project Register'!$A315="","",IF(F315="","OK","Check"))</f>
        <v/>
      </c>
    </row>
    <row r="316" customFormat="false" ht="15" hidden="false" customHeight="false" outlineLevel="0" collapsed="false">
      <c r="A316" s="15" t="str">
        <f aca="false">IF('Project Register'!$A316="","",ROW('Project Register'!A316))</f>
        <v/>
      </c>
      <c r="B316" s="15" t="str">
        <f aca="false">IF('Project Register'!$A316="","",'Project Register'!B316)</f>
        <v/>
      </c>
      <c r="C316" s="15" t="str">
        <f aca="false">IF('Project Register'!$A316="","",IF(OR('Project Register'!E316="",'Project Register'!F316=""),"",IF('Project Register'!F316&lt;'Project Register'!E316,0,NETWORKDAYS.INTL('Project Register'!E316,'Project Register'!F316,"0000110",Holidays_Leave!$A$3:$A$62))))</f>
        <v/>
      </c>
      <c r="D316" s="15" t="str">
        <f aca="false">IF('Project Register'!$A316="","",('Project Register'!H316&lt;&gt;"")+('Project Register'!J316&lt;&gt;"")+('Project Register'!L316&lt;&gt;""))</f>
        <v/>
      </c>
      <c r="E316" s="16" t="str">
        <f aca="false">IF(OR(C316="",D316="",'Project Register'!G316=""),"",IF(OR(C316=0,D316=0),"",'Project Register'!G316/(C316*D316)))</f>
        <v/>
      </c>
      <c r="F316" s="15" t="str">
        <f aca="false">IF('Project Register'!$A316="","",TRIM(IF(OR('Project Register'!E316="",'Project Register'!F316=""),"Missing date. ","")&amp;IF(AND('Project Register'!E316&lt;&gt;"",'Project Register'!F316&lt;&gt;"",'Project Register'!F316&lt;'Project Register'!E316),"End before start. ","")&amp;IF(NOT(ISNUMBER('Project Register'!G316)),"Effort missing. ","")&amp;IF(D316=0,"No resource. ","")&amp;IF(AND('Project Register'!H316&lt;&gt;"",'Project Register'!I316=""),"Role 1 missing. ","")&amp;IF(AND('Project Register'!J316&lt;&gt;"",'Project Register'!K316=""),"Role 2 missing. ","")&amp;IF(AND('Project Register'!L316&lt;&gt;"",'Project Register'!M316=""),"Role 3 missing. ","")&amp;IF(OR(AND('Project Register'!H316&lt;&gt;"",'Project Register'!H316='Project Register'!J316),AND('Project Register'!H316&lt;&gt;"",'Project Register'!H316='Project Register'!L316),AND('Project Register'!J316&lt;&gt;"",'Project Register'!J316='Project Register'!L316)),"Same person listed twice. ","")&amp;IF(AND('Project Register'!H316&lt;&gt;"",COUNTIF(Resources!$A$2:$A$51,'Project Register'!H316)=0),"Resource 1 not in Resources sheet. ","")&amp;IF(AND('Project Register'!J316&lt;&gt;"",COUNTIF(Resources!$A$2:$A$51,'Project Register'!J316)=0),"Resource 2 not in Resources sheet. ","")&amp;IF(AND('Project Register'!L316&lt;&gt;"",COUNTIF(Resources!$A$2:$A$51,'Project Register'!L316)=0),"Resource 3 not in Resources sheet. ","")&amp;IF('Project Register'!O316="","Test Status missing. ","")&amp;IF(AND(ISNUMBER(E316),E316&gt;1),"This task alone needs over 100% per person. ","")&amp;IF(AND('Project Register'!Q316="Deployed in Live",'Project Register'!R316=""),"Release Date blank (import date will be used). ","")))</f>
        <v/>
      </c>
      <c r="G316" s="17" t="str">
        <f aca="false">IF('Project Register'!$A316="","",IF(F316="","OK","Check"))</f>
        <v/>
      </c>
    </row>
    <row r="317" customFormat="false" ht="15" hidden="false" customHeight="false" outlineLevel="0" collapsed="false">
      <c r="A317" s="15" t="str">
        <f aca="false">IF('Project Register'!$A317="","",ROW('Project Register'!A317))</f>
        <v/>
      </c>
      <c r="B317" s="15" t="str">
        <f aca="false">IF('Project Register'!$A317="","",'Project Register'!B317)</f>
        <v/>
      </c>
      <c r="C317" s="15" t="str">
        <f aca="false">IF('Project Register'!$A317="","",IF(OR('Project Register'!E317="",'Project Register'!F317=""),"",IF('Project Register'!F317&lt;'Project Register'!E317,0,NETWORKDAYS.INTL('Project Register'!E317,'Project Register'!F317,"0000110",Holidays_Leave!$A$3:$A$62))))</f>
        <v/>
      </c>
      <c r="D317" s="15" t="str">
        <f aca="false">IF('Project Register'!$A317="","",('Project Register'!H317&lt;&gt;"")+('Project Register'!J317&lt;&gt;"")+('Project Register'!L317&lt;&gt;""))</f>
        <v/>
      </c>
      <c r="E317" s="16" t="str">
        <f aca="false">IF(OR(C317="",D317="",'Project Register'!G317=""),"",IF(OR(C317=0,D317=0),"",'Project Register'!G317/(C317*D317)))</f>
        <v/>
      </c>
      <c r="F317" s="15" t="str">
        <f aca="false">IF('Project Register'!$A317="","",TRIM(IF(OR('Project Register'!E317="",'Project Register'!F317=""),"Missing date. ","")&amp;IF(AND('Project Register'!E317&lt;&gt;"",'Project Register'!F317&lt;&gt;"",'Project Register'!F317&lt;'Project Register'!E317),"End before start. ","")&amp;IF(NOT(ISNUMBER('Project Register'!G317)),"Effort missing. ","")&amp;IF(D317=0,"No resource. ","")&amp;IF(AND('Project Register'!H317&lt;&gt;"",'Project Register'!I317=""),"Role 1 missing. ","")&amp;IF(AND('Project Register'!J317&lt;&gt;"",'Project Register'!K317=""),"Role 2 missing. ","")&amp;IF(AND('Project Register'!L317&lt;&gt;"",'Project Register'!M317=""),"Role 3 missing. ","")&amp;IF(OR(AND('Project Register'!H317&lt;&gt;"",'Project Register'!H317='Project Register'!J317),AND('Project Register'!H317&lt;&gt;"",'Project Register'!H317='Project Register'!L317),AND('Project Register'!J317&lt;&gt;"",'Project Register'!J317='Project Register'!L317)),"Same person listed twice. ","")&amp;IF(AND('Project Register'!H317&lt;&gt;"",COUNTIF(Resources!$A$2:$A$51,'Project Register'!H317)=0),"Resource 1 not in Resources sheet. ","")&amp;IF(AND('Project Register'!J317&lt;&gt;"",COUNTIF(Resources!$A$2:$A$51,'Project Register'!J317)=0),"Resource 2 not in Resources sheet. ","")&amp;IF(AND('Project Register'!L317&lt;&gt;"",COUNTIF(Resources!$A$2:$A$51,'Project Register'!L317)=0),"Resource 3 not in Resources sheet. ","")&amp;IF('Project Register'!O317="","Test Status missing. ","")&amp;IF(AND(ISNUMBER(E317),E317&gt;1),"This task alone needs over 100% per person. ","")&amp;IF(AND('Project Register'!Q317="Deployed in Live",'Project Register'!R317=""),"Release Date blank (import date will be used). ","")))</f>
        <v/>
      </c>
      <c r="G317" s="17" t="str">
        <f aca="false">IF('Project Register'!$A317="","",IF(F317="","OK","Check"))</f>
        <v/>
      </c>
    </row>
    <row r="318" customFormat="false" ht="15" hidden="false" customHeight="false" outlineLevel="0" collapsed="false">
      <c r="A318" s="15" t="str">
        <f aca="false">IF('Project Register'!$A318="","",ROW('Project Register'!A318))</f>
        <v/>
      </c>
      <c r="B318" s="15" t="str">
        <f aca="false">IF('Project Register'!$A318="","",'Project Register'!B318)</f>
        <v/>
      </c>
      <c r="C318" s="15" t="str">
        <f aca="false">IF('Project Register'!$A318="","",IF(OR('Project Register'!E318="",'Project Register'!F318=""),"",IF('Project Register'!F318&lt;'Project Register'!E318,0,NETWORKDAYS.INTL('Project Register'!E318,'Project Register'!F318,"0000110",Holidays_Leave!$A$3:$A$62))))</f>
        <v/>
      </c>
      <c r="D318" s="15" t="str">
        <f aca="false">IF('Project Register'!$A318="","",('Project Register'!H318&lt;&gt;"")+('Project Register'!J318&lt;&gt;"")+('Project Register'!L318&lt;&gt;""))</f>
        <v/>
      </c>
      <c r="E318" s="16" t="str">
        <f aca="false">IF(OR(C318="",D318="",'Project Register'!G318=""),"",IF(OR(C318=0,D318=0),"",'Project Register'!G318/(C318*D318)))</f>
        <v/>
      </c>
      <c r="F318" s="15" t="str">
        <f aca="false">IF('Project Register'!$A318="","",TRIM(IF(OR('Project Register'!E318="",'Project Register'!F318=""),"Missing date. ","")&amp;IF(AND('Project Register'!E318&lt;&gt;"",'Project Register'!F318&lt;&gt;"",'Project Register'!F318&lt;'Project Register'!E318),"End before start. ","")&amp;IF(NOT(ISNUMBER('Project Register'!G318)),"Effort missing. ","")&amp;IF(D318=0,"No resource. ","")&amp;IF(AND('Project Register'!H318&lt;&gt;"",'Project Register'!I318=""),"Role 1 missing. ","")&amp;IF(AND('Project Register'!J318&lt;&gt;"",'Project Register'!K318=""),"Role 2 missing. ","")&amp;IF(AND('Project Register'!L318&lt;&gt;"",'Project Register'!M318=""),"Role 3 missing. ","")&amp;IF(OR(AND('Project Register'!H318&lt;&gt;"",'Project Register'!H318='Project Register'!J318),AND('Project Register'!H318&lt;&gt;"",'Project Register'!H318='Project Register'!L318),AND('Project Register'!J318&lt;&gt;"",'Project Register'!J318='Project Register'!L318)),"Same person listed twice. ","")&amp;IF(AND('Project Register'!H318&lt;&gt;"",COUNTIF(Resources!$A$2:$A$51,'Project Register'!H318)=0),"Resource 1 not in Resources sheet. ","")&amp;IF(AND('Project Register'!J318&lt;&gt;"",COUNTIF(Resources!$A$2:$A$51,'Project Register'!J318)=0),"Resource 2 not in Resources sheet. ","")&amp;IF(AND('Project Register'!L318&lt;&gt;"",COUNTIF(Resources!$A$2:$A$51,'Project Register'!L318)=0),"Resource 3 not in Resources sheet. ","")&amp;IF('Project Register'!O318="","Test Status missing. ","")&amp;IF(AND(ISNUMBER(E318),E318&gt;1),"This task alone needs over 100% per person. ","")&amp;IF(AND('Project Register'!Q318="Deployed in Live",'Project Register'!R318=""),"Release Date blank (import date will be used). ","")))</f>
        <v/>
      </c>
      <c r="G318" s="17" t="str">
        <f aca="false">IF('Project Register'!$A318="","",IF(F318="","OK","Check"))</f>
        <v/>
      </c>
    </row>
    <row r="319" customFormat="false" ht="15" hidden="false" customHeight="false" outlineLevel="0" collapsed="false">
      <c r="A319" s="15" t="str">
        <f aca="false">IF('Project Register'!$A319="","",ROW('Project Register'!A319))</f>
        <v/>
      </c>
      <c r="B319" s="15" t="str">
        <f aca="false">IF('Project Register'!$A319="","",'Project Register'!B319)</f>
        <v/>
      </c>
      <c r="C319" s="15" t="str">
        <f aca="false">IF('Project Register'!$A319="","",IF(OR('Project Register'!E319="",'Project Register'!F319=""),"",IF('Project Register'!F319&lt;'Project Register'!E319,0,NETWORKDAYS.INTL('Project Register'!E319,'Project Register'!F319,"0000110",Holidays_Leave!$A$3:$A$62))))</f>
        <v/>
      </c>
      <c r="D319" s="15" t="str">
        <f aca="false">IF('Project Register'!$A319="","",('Project Register'!H319&lt;&gt;"")+('Project Register'!J319&lt;&gt;"")+('Project Register'!L319&lt;&gt;""))</f>
        <v/>
      </c>
      <c r="E319" s="16" t="str">
        <f aca="false">IF(OR(C319="",D319="",'Project Register'!G319=""),"",IF(OR(C319=0,D319=0),"",'Project Register'!G319/(C319*D319)))</f>
        <v/>
      </c>
      <c r="F319" s="15" t="str">
        <f aca="false">IF('Project Register'!$A319="","",TRIM(IF(OR('Project Register'!E319="",'Project Register'!F319=""),"Missing date. ","")&amp;IF(AND('Project Register'!E319&lt;&gt;"",'Project Register'!F319&lt;&gt;"",'Project Register'!F319&lt;'Project Register'!E319),"End before start. ","")&amp;IF(NOT(ISNUMBER('Project Register'!G319)),"Effort missing. ","")&amp;IF(D319=0,"No resource. ","")&amp;IF(AND('Project Register'!H319&lt;&gt;"",'Project Register'!I319=""),"Role 1 missing. ","")&amp;IF(AND('Project Register'!J319&lt;&gt;"",'Project Register'!K319=""),"Role 2 missing. ","")&amp;IF(AND('Project Register'!L319&lt;&gt;"",'Project Register'!M319=""),"Role 3 missing. ","")&amp;IF(OR(AND('Project Register'!H319&lt;&gt;"",'Project Register'!H319='Project Register'!J319),AND('Project Register'!H319&lt;&gt;"",'Project Register'!H319='Project Register'!L319),AND('Project Register'!J319&lt;&gt;"",'Project Register'!J319='Project Register'!L319)),"Same person listed twice. ","")&amp;IF(AND('Project Register'!H319&lt;&gt;"",COUNTIF(Resources!$A$2:$A$51,'Project Register'!H319)=0),"Resource 1 not in Resources sheet. ","")&amp;IF(AND('Project Register'!J319&lt;&gt;"",COUNTIF(Resources!$A$2:$A$51,'Project Register'!J319)=0),"Resource 2 not in Resources sheet. ","")&amp;IF(AND('Project Register'!L319&lt;&gt;"",COUNTIF(Resources!$A$2:$A$51,'Project Register'!L319)=0),"Resource 3 not in Resources sheet. ","")&amp;IF('Project Register'!O319="","Test Status missing. ","")&amp;IF(AND(ISNUMBER(E319),E319&gt;1),"This task alone needs over 100% per person. ","")&amp;IF(AND('Project Register'!Q319="Deployed in Live",'Project Register'!R319=""),"Release Date blank (import date will be used). ","")))</f>
        <v/>
      </c>
      <c r="G319" s="17" t="str">
        <f aca="false">IF('Project Register'!$A319="","",IF(F319="","OK","Check"))</f>
        <v/>
      </c>
    </row>
    <row r="320" customFormat="false" ht="15" hidden="false" customHeight="false" outlineLevel="0" collapsed="false">
      <c r="A320" s="15" t="str">
        <f aca="false">IF('Project Register'!$A320="","",ROW('Project Register'!A320))</f>
        <v/>
      </c>
      <c r="B320" s="15" t="str">
        <f aca="false">IF('Project Register'!$A320="","",'Project Register'!B320)</f>
        <v/>
      </c>
      <c r="C320" s="15" t="str">
        <f aca="false">IF('Project Register'!$A320="","",IF(OR('Project Register'!E320="",'Project Register'!F320=""),"",IF('Project Register'!F320&lt;'Project Register'!E320,0,NETWORKDAYS.INTL('Project Register'!E320,'Project Register'!F320,"0000110",Holidays_Leave!$A$3:$A$62))))</f>
        <v/>
      </c>
      <c r="D320" s="15" t="str">
        <f aca="false">IF('Project Register'!$A320="","",('Project Register'!H320&lt;&gt;"")+('Project Register'!J320&lt;&gt;"")+('Project Register'!L320&lt;&gt;""))</f>
        <v/>
      </c>
      <c r="E320" s="16" t="str">
        <f aca="false">IF(OR(C320="",D320="",'Project Register'!G320=""),"",IF(OR(C320=0,D320=0),"",'Project Register'!G320/(C320*D320)))</f>
        <v/>
      </c>
      <c r="F320" s="15" t="str">
        <f aca="false">IF('Project Register'!$A320="","",TRIM(IF(OR('Project Register'!E320="",'Project Register'!F320=""),"Missing date. ","")&amp;IF(AND('Project Register'!E320&lt;&gt;"",'Project Register'!F320&lt;&gt;"",'Project Register'!F320&lt;'Project Register'!E320),"End before start. ","")&amp;IF(NOT(ISNUMBER('Project Register'!G320)),"Effort missing. ","")&amp;IF(D320=0,"No resource. ","")&amp;IF(AND('Project Register'!H320&lt;&gt;"",'Project Register'!I320=""),"Role 1 missing. ","")&amp;IF(AND('Project Register'!J320&lt;&gt;"",'Project Register'!K320=""),"Role 2 missing. ","")&amp;IF(AND('Project Register'!L320&lt;&gt;"",'Project Register'!M320=""),"Role 3 missing. ","")&amp;IF(OR(AND('Project Register'!H320&lt;&gt;"",'Project Register'!H320='Project Register'!J320),AND('Project Register'!H320&lt;&gt;"",'Project Register'!H320='Project Register'!L320),AND('Project Register'!J320&lt;&gt;"",'Project Register'!J320='Project Register'!L320)),"Same person listed twice. ","")&amp;IF(AND('Project Register'!H320&lt;&gt;"",COUNTIF(Resources!$A$2:$A$51,'Project Register'!H320)=0),"Resource 1 not in Resources sheet. ","")&amp;IF(AND('Project Register'!J320&lt;&gt;"",COUNTIF(Resources!$A$2:$A$51,'Project Register'!J320)=0),"Resource 2 not in Resources sheet. ","")&amp;IF(AND('Project Register'!L320&lt;&gt;"",COUNTIF(Resources!$A$2:$A$51,'Project Register'!L320)=0),"Resource 3 not in Resources sheet. ","")&amp;IF('Project Register'!O320="","Test Status missing. ","")&amp;IF(AND(ISNUMBER(E320),E320&gt;1),"This task alone needs over 100% per person. ","")&amp;IF(AND('Project Register'!Q320="Deployed in Live",'Project Register'!R320=""),"Release Date blank (import date will be used). ","")))</f>
        <v/>
      </c>
      <c r="G320" s="17" t="str">
        <f aca="false">IF('Project Register'!$A320="","",IF(F320="","OK","Check"))</f>
        <v/>
      </c>
    </row>
    <row r="321" customFormat="false" ht="15" hidden="false" customHeight="false" outlineLevel="0" collapsed="false">
      <c r="A321" s="15" t="str">
        <f aca="false">IF('Project Register'!$A321="","",ROW('Project Register'!A321))</f>
        <v/>
      </c>
      <c r="B321" s="15" t="str">
        <f aca="false">IF('Project Register'!$A321="","",'Project Register'!B321)</f>
        <v/>
      </c>
      <c r="C321" s="15" t="str">
        <f aca="false">IF('Project Register'!$A321="","",IF(OR('Project Register'!E321="",'Project Register'!F321=""),"",IF('Project Register'!F321&lt;'Project Register'!E321,0,NETWORKDAYS.INTL('Project Register'!E321,'Project Register'!F321,"0000110",Holidays_Leave!$A$3:$A$62))))</f>
        <v/>
      </c>
      <c r="D321" s="15" t="str">
        <f aca="false">IF('Project Register'!$A321="","",('Project Register'!H321&lt;&gt;"")+('Project Register'!J321&lt;&gt;"")+('Project Register'!L321&lt;&gt;""))</f>
        <v/>
      </c>
      <c r="E321" s="16" t="str">
        <f aca="false">IF(OR(C321="",D321="",'Project Register'!G321=""),"",IF(OR(C321=0,D321=0),"",'Project Register'!G321/(C321*D321)))</f>
        <v/>
      </c>
      <c r="F321" s="15" t="str">
        <f aca="false">IF('Project Register'!$A321="","",TRIM(IF(OR('Project Register'!E321="",'Project Register'!F321=""),"Missing date. ","")&amp;IF(AND('Project Register'!E321&lt;&gt;"",'Project Register'!F321&lt;&gt;"",'Project Register'!F321&lt;'Project Register'!E321),"End before start. ","")&amp;IF(NOT(ISNUMBER('Project Register'!G321)),"Effort missing. ","")&amp;IF(D321=0,"No resource. ","")&amp;IF(AND('Project Register'!H321&lt;&gt;"",'Project Register'!I321=""),"Role 1 missing. ","")&amp;IF(AND('Project Register'!J321&lt;&gt;"",'Project Register'!K321=""),"Role 2 missing. ","")&amp;IF(AND('Project Register'!L321&lt;&gt;"",'Project Register'!M321=""),"Role 3 missing. ","")&amp;IF(OR(AND('Project Register'!H321&lt;&gt;"",'Project Register'!H321='Project Register'!J321),AND('Project Register'!H321&lt;&gt;"",'Project Register'!H321='Project Register'!L321),AND('Project Register'!J321&lt;&gt;"",'Project Register'!J321='Project Register'!L321)),"Same person listed twice. ","")&amp;IF(AND('Project Register'!H321&lt;&gt;"",COUNTIF(Resources!$A$2:$A$51,'Project Register'!H321)=0),"Resource 1 not in Resources sheet. ","")&amp;IF(AND('Project Register'!J321&lt;&gt;"",COUNTIF(Resources!$A$2:$A$51,'Project Register'!J321)=0),"Resource 2 not in Resources sheet. ","")&amp;IF(AND('Project Register'!L321&lt;&gt;"",COUNTIF(Resources!$A$2:$A$51,'Project Register'!L321)=0),"Resource 3 not in Resources sheet. ","")&amp;IF('Project Register'!O321="","Test Status missing. ","")&amp;IF(AND(ISNUMBER(E321),E321&gt;1),"This task alone needs over 100% per person. ","")&amp;IF(AND('Project Register'!Q321="Deployed in Live",'Project Register'!R321=""),"Release Date blank (import date will be used). ","")))</f>
        <v/>
      </c>
      <c r="G321" s="17" t="str">
        <f aca="false">IF('Project Register'!$A321="","",IF(F321="","OK","Check"))</f>
        <v/>
      </c>
    </row>
    <row r="322" customFormat="false" ht="15" hidden="false" customHeight="false" outlineLevel="0" collapsed="false">
      <c r="A322" s="15" t="str">
        <f aca="false">IF('Project Register'!$A322="","",ROW('Project Register'!A322))</f>
        <v/>
      </c>
      <c r="B322" s="15" t="str">
        <f aca="false">IF('Project Register'!$A322="","",'Project Register'!B322)</f>
        <v/>
      </c>
      <c r="C322" s="15" t="str">
        <f aca="false">IF('Project Register'!$A322="","",IF(OR('Project Register'!E322="",'Project Register'!F322=""),"",IF('Project Register'!F322&lt;'Project Register'!E322,0,NETWORKDAYS.INTL('Project Register'!E322,'Project Register'!F322,"0000110",Holidays_Leave!$A$3:$A$62))))</f>
        <v/>
      </c>
      <c r="D322" s="15" t="str">
        <f aca="false">IF('Project Register'!$A322="","",('Project Register'!H322&lt;&gt;"")+('Project Register'!J322&lt;&gt;"")+('Project Register'!L322&lt;&gt;""))</f>
        <v/>
      </c>
      <c r="E322" s="16" t="str">
        <f aca="false">IF(OR(C322="",D322="",'Project Register'!G322=""),"",IF(OR(C322=0,D322=0),"",'Project Register'!G322/(C322*D322)))</f>
        <v/>
      </c>
      <c r="F322" s="15" t="str">
        <f aca="false">IF('Project Register'!$A322="","",TRIM(IF(OR('Project Register'!E322="",'Project Register'!F322=""),"Missing date. ","")&amp;IF(AND('Project Register'!E322&lt;&gt;"",'Project Register'!F322&lt;&gt;"",'Project Register'!F322&lt;'Project Register'!E322),"End before start. ","")&amp;IF(NOT(ISNUMBER('Project Register'!G322)),"Effort missing. ","")&amp;IF(D322=0,"No resource. ","")&amp;IF(AND('Project Register'!H322&lt;&gt;"",'Project Register'!I322=""),"Role 1 missing. ","")&amp;IF(AND('Project Register'!J322&lt;&gt;"",'Project Register'!K322=""),"Role 2 missing. ","")&amp;IF(AND('Project Register'!L322&lt;&gt;"",'Project Register'!M322=""),"Role 3 missing. ","")&amp;IF(OR(AND('Project Register'!H322&lt;&gt;"",'Project Register'!H322='Project Register'!J322),AND('Project Register'!H322&lt;&gt;"",'Project Register'!H322='Project Register'!L322),AND('Project Register'!J322&lt;&gt;"",'Project Register'!J322='Project Register'!L322)),"Same person listed twice. ","")&amp;IF(AND('Project Register'!H322&lt;&gt;"",COUNTIF(Resources!$A$2:$A$51,'Project Register'!H322)=0),"Resource 1 not in Resources sheet. ","")&amp;IF(AND('Project Register'!J322&lt;&gt;"",COUNTIF(Resources!$A$2:$A$51,'Project Register'!J322)=0),"Resource 2 not in Resources sheet. ","")&amp;IF(AND('Project Register'!L322&lt;&gt;"",COUNTIF(Resources!$A$2:$A$51,'Project Register'!L322)=0),"Resource 3 not in Resources sheet. ","")&amp;IF('Project Register'!O322="","Test Status missing. ","")&amp;IF(AND(ISNUMBER(E322),E322&gt;1),"This task alone needs over 100% per person. ","")&amp;IF(AND('Project Register'!Q322="Deployed in Live",'Project Register'!R322=""),"Release Date blank (import date will be used). ","")))</f>
        <v/>
      </c>
      <c r="G322" s="17" t="str">
        <f aca="false">IF('Project Register'!$A322="","",IF(F322="","OK","Check"))</f>
        <v/>
      </c>
    </row>
    <row r="323" customFormat="false" ht="15" hidden="false" customHeight="false" outlineLevel="0" collapsed="false">
      <c r="A323" s="15" t="str">
        <f aca="false">IF('Project Register'!$A323="","",ROW('Project Register'!A323))</f>
        <v/>
      </c>
      <c r="B323" s="15" t="str">
        <f aca="false">IF('Project Register'!$A323="","",'Project Register'!B323)</f>
        <v/>
      </c>
      <c r="C323" s="15" t="str">
        <f aca="false">IF('Project Register'!$A323="","",IF(OR('Project Register'!E323="",'Project Register'!F323=""),"",IF('Project Register'!F323&lt;'Project Register'!E323,0,NETWORKDAYS.INTL('Project Register'!E323,'Project Register'!F323,"0000110",Holidays_Leave!$A$3:$A$62))))</f>
        <v/>
      </c>
      <c r="D323" s="15" t="str">
        <f aca="false">IF('Project Register'!$A323="","",('Project Register'!H323&lt;&gt;"")+('Project Register'!J323&lt;&gt;"")+('Project Register'!L323&lt;&gt;""))</f>
        <v/>
      </c>
      <c r="E323" s="16" t="str">
        <f aca="false">IF(OR(C323="",D323="",'Project Register'!G323=""),"",IF(OR(C323=0,D323=0),"",'Project Register'!G323/(C323*D323)))</f>
        <v/>
      </c>
      <c r="F323" s="15" t="str">
        <f aca="false">IF('Project Register'!$A323="","",TRIM(IF(OR('Project Register'!E323="",'Project Register'!F323=""),"Missing date. ","")&amp;IF(AND('Project Register'!E323&lt;&gt;"",'Project Register'!F323&lt;&gt;"",'Project Register'!F323&lt;'Project Register'!E323),"End before start. ","")&amp;IF(NOT(ISNUMBER('Project Register'!G323)),"Effort missing. ","")&amp;IF(D323=0,"No resource. ","")&amp;IF(AND('Project Register'!H323&lt;&gt;"",'Project Register'!I323=""),"Role 1 missing. ","")&amp;IF(AND('Project Register'!J323&lt;&gt;"",'Project Register'!K323=""),"Role 2 missing. ","")&amp;IF(AND('Project Register'!L323&lt;&gt;"",'Project Register'!M323=""),"Role 3 missing. ","")&amp;IF(OR(AND('Project Register'!H323&lt;&gt;"",'Project Register'!H323='Project Register'!J323),AND('Project Register'!H323&lt;&gt;"",'Project Register'!H323='Project Register'!L323),AND('Project Register'!J323&lt;&gt;"",'Project Register'!J323='Project Register'!L323)),"Same person listed twice. ","")&amp;IF(AND('Project Register'!H323&lt;&gt;"",COUNTIF(Resources!$A$2:$A$51,'Project Register'!H323)=0),"Resource 1 not in Resources sheet. ","")&amp;IF(AND('Project Register'!J323&lt;&gt;"",COUNTIF(Resources!$A$2:$A$51,'Project Register'!J323)=0),"Resource 2 not in Resources sheet. ","")&amp;IF(AND('Project Register'!L323&lt;&gt;"",COUNTIF(Resources!$A$2:$A$51,'Project Register'!L323)=0),"Resource 3 not in Resources sheet. ","")&amp;IF('Project Register'!O323="","Test Status missing. ","")&amp;IF(AND(ISNUMBER(E323),E323&gt;1),"This task alone needs over 100% per person. ","")&amp;IF(AND('Project Register'!Q323="Deployed in Live",'Project Register'!R323=""),"Release Date blank (import date will be used). ","")))</f>
        <v/>
      </c>
      <c r="G323" s="17" t="str">
        <f aca="false">IF('Project Register'!$A323="","",IF(F323="","OK","Check"))</f>
        <v/>
      </c>
    </row>
    <row r="324" customFormat="false" ht="15" hidden="false" customHeight="false" outlineLevel="0" collapsed="false">
      <c r="A324" s="15" t="str">
        <f aca="false">IF('Project Register'!$A324="","",ROW('Project Register'!A324))</f>
        <v/>
      </c>
      <c r="B324" s="15" t="str">
        <f aca="false">IF('Project Register'!$A324="","",'Project Register'!B324)</f>
        <v/>
      </c>
      <c r="C324" s="15" t="str">
        <f aca="false">IF('Project Register'!$A324="","",IF(OR('Project Register'!E324="",'Project Register'!F324=""),"",IF('Project Register'!F324&lt;'Project Register'!E324,0,NETWORKDAYS.INTL('Project Register'!E324,'Project Register'!F324,"0000110",Holidays_Leave!$A$3:$A$62))))</f>
        <v/>
      </c>
      <c r="D324" s="15" t="str">
        <f aca="false">IF('Project Register'!$A324="","",('Project Register'!H324&lt;&gt;"")+('Project Register'!J324&lt;&gt;"")+('Project Register'!L324&lt;&gt;""))</f>
        <v/>
      </c>
      <c r="E324" s="16" t="str">
        <f aca="false">IF(OR(C324="",D324="",'Project Register'!G324=""),"",IF(OR(C324=0,D324=0),"",'Project Register'!G324/(C324*D324)))</f>
        <v/>
      </c>
      <c r="F324" s="15" t="str">
        <f aca="false">IF('Project Register'!$A324="","",TRIM(IF(OR('Project Register'!E324="",'Project Register'!F324=""),"Missing date. ","")&amp;IF(AND('Project Register'!E324&lt;&gt;"",'Project Register'!F324&lt;&gt;"",'Project Register'!F324&lt;'Project Register'!E324),"End before start. ","")&amp;IF(NOT(ISNUMBER('Project Register'!G324)),"Effort missing. ","")&amp;IF(D324=0,"No resource. ","")&amp;IF(AND('Project Register'!H324&lt;&gt;"",'Project Register'!I324=""),"Role 1 missing. ","")&amp;IF(AND('Project Register'!J324&lt;&gt;"",'Project Register'!K324=""),"Role 2 missing. ","")&amp;IF(AND('Project Register'!L324&lt;&gt;"",'Project Register'!M324=""),"Role 3 missing. ","")&amp;IF(OR(AND('Project Register'!H324&lt;&gt;"",'Project Register'!H324='Project Register'!J324),AND('Project Register'!H324&lt;&gt;"",'Project Register'!H324='Project Register'!L324),AND('Project Register'!J324&lt;&gt;"",'Project Register'!J324='Project Register'!L324)),"Same person listed twice. ","")&amp;IF(AND('Project Register'!H324&lt;&gt;"",COUNTIF(Resources!$A$2:$A$51,'Project Register'!H324)=0),"Resource 1 not in Resources sheet. ","")&amp;IF(AND('Project Register'!J324&lt;&gt;"",COUNTIF(Resources!$A$2:$A$51,'Project Register'!J324)=0),"Resource 2 not in Resources sheet. ","")&amp;IF(AND('Project Register'!L324&lt;&gt;"",COUNTIF(Resources!$A$2:$A$51,'Project Register'!L324)=0),"Resource 3 not in Resources sheet. ","")&amp;IF('Project Register'!O324="","Test Status missing. ","")&amp;IF(AND(ISNUMBER(E324),E324&gt;1),"This task alone needs over 100% per person. ","")&amp;IF(AND('Project Register'!Q324="Deployed in Live",'Project Register'!R324=""),"Release Date blank (import date will be used). ","")))</f>
        <v/>
      </c>
      <c r="G324" s="17" t="str">
        <f aca="false">IF('Project Register'!$A324="","",IF(F324="","OK","Check"))</f>
        <v/>
      </c>
    </row>
    <row r="325" customFormat="false" ht="15" hidden="false" customHeight="false" outlineLevel="0" collapsed="false">
      <c r="A325" s="15" t="str">
        <f aca="false">IF('Project Register'!$A325="","",ROW('Project Register'!A325))</f>
        <v/>
      </c>
      <c r="B325" s="15" t="str">
        <f aca="false">IF('Project Register'!$A325="","",'Project Register'!B325)</f>
        <v/>
      </c>
      <c r="C325" s="15" t="str">
        <f aca="false">IF('Project Register'!$A325="","",IF(OR('Project Register'!E325="",'Project Register'!F325=""),"",IF('Project Register'!F325&lt;'Project Register'!E325,0,NETWORKDAYS.INTL('Project Register'!E325,'Project Register'!F325,"0000110",Holidays_Leave!$A$3:$A$62))))</f>
        <v/>
      </c>
      <c r="D325" s="15" t="str">
        <f aca="false">IF('Project Register'!$A325="","",('Project Register'!H325&lt;&gt;"")+('Project Register'!J325&lt;&gt;"")+('Project Register'!L325&lt;&gt;""))</f>
        <v/>
      </c>
      <c r="E325" s="16" t="str">
        <f aca="false">IF(OR(C325="",D325="",'Project Register'!G325=""),"",IF(OR(C325=0,D325=0),"",'Project Register'!G325/(C325*D325)))</f>
        <v/>
      </c>
      <c r="F325" s="15" t="str">
        <f aca="false">IF('Project Register'!$A325="","",TRIM(IF(OR('Project Register'!E325="",'Project Register'!F325=""),"Missing date. ","")&amp;IF(AND('Project Register'!E325&lt;&gt;"",'Project Register'!F325&lt;&gt;"",'Project Register'!F325&lt;'Project Register'!E325),"End before start. ","")&amp;IF(NOT(ISNUMBER('Project Register'!G325)),"Effort missing. ","")&amp;IF(D325=0,"No resource. ","")&amp;IF(AND('Project Register'!H325&lt;&gt;"",'Project Register'!I325=""),"Role 1 missing. ","")&amp;IF(AND('Project Register'!J325&lt;&gt;"",'Project Register'!K325=""),"Role 2 missing. ","")&amp;IF(AND('Project Register'!L325&lt;&gt;"",'Project Register'!M325=""),"Role 3 missing. ","")&amp;IF(OR(AND('Project Register'!H325&lt;&gt;"",'Project Register'!H325='Project Register'!J325),AND('Project Register'!H325&lt;&gt;"",'Project Register'!H325='Project Register'!L325),AND('Project Register'!J325&lt;&gt;"",'Project Register'!J325='Project Register'!L325)),"Same person listed twice. ","")&amp;IF(AND('Project Register'!H325&lt;&gt;"",COUNTIF(Resources!$A$2:$A$51,'Project Register'!H325)=0),"Resource 1 not in Resources sheet. ","")&amp;IF(AND('Project Register'!J325&lt;&gt;"",COUNTIF(Resources!$A$2:$A$51,'Project Register'!J325)=0),"Resource 2 not in Resources sheet. ","")&amp;IF(AND('Project Register'!L325&lt;&gt;"",COUNTIF(Resources!$A$2:$A$51,'Project Register'!L325)=0),"Resource 3 not in Resources sheet. ","")&amp;IF('Project Register'!O325="","Test Status missing. ","")&amp;IF(AND(ISNUMBER(E325),E325&gt;1),"This task alone needs over 100% per person. ","")&amp;IF(AND('Project Register'!Q325="Deployed in Live",'Project Register'!R325=""),"Release Date blank (import date will be used). ","")))</f>
        <v/>
      </c>
      <c r="G325" s="17" t="str">
        <f aca="false">IF('Project Register'!$A325="","",IF(F325="","OK","Check"))</f>
        <v/>
      </c>
    </row>
    <row r="326" customFormat="false" ht="15" hidden="false" customHeight="false" outlineLevel="0" collapsed="false">
      <c r="A326" s="15" t="str">
        <f aca="false">IF('Project Register'!$A326="","",ROW('Project Register'!A326))</f>
        <v/>
      </c>
      <c r="B326" s="15" t="str">
        <f aca="false">IF('Project Register'!$A326="","",'Project Register'!B326)</f>
        <v/>
      </c>
      <c r="C326" s="15" t="str">
        <f aca="false">IF('Project Register'!$A326="","",IF(OR('Project Register'!E326="",'Project Register'!F326=""),"",IF('Project Register'!F326&lt;'Project Register'!E326,0,NETWORKDAYS.INTL('Project Register'!E326,'Project Register'!F326,"0000110",Holidays_Leave!$A$3:$A$62))))</f>
        <v/>
      </c>
      <c r="D326" s="15" t="str">
        <f aca="false">IF('Project Register'!$A326="","",('Project Register'!H326&lt;&gt;"")+('Project Register'!J326&lt;&gt;"")+('Project Register'!L326&lt;&gt;""))</f>
        <v/>
      </c>
      <c r="E326" s="16" t="str">
        <f aca="false">IF(OR(C326="",D326="",'Project Register'!G326=""),"",IF(OR(C326=0,D326=0),"",'Project Register'!G326/(C326*D326)))</f>
        <v/>
      </c>
      <c r="F326" s="15" t="str">
        <f aca="false">IF('Project Register'!$A326="","",TRIM(IF(OR('Project Register'!E326="",'Project Register'!F326=""),"Missing date. ","")&amp;IF(AND('Project Register'!E326&lt;&gt;"",'Project Register'!F326&lt;&gt;"",'Project Register'!F326&lt;'Project Register'!E326),"End before start. ","")&amp;IF(NOT(ISNUMBER('Project Register'!G326)),"Effort missing. ","")&amp;IF(D326=0,"No resource. ","")&amp;IF(AND('Project Register'!H326&lt;&gt;"",'Project Register'!I326=""),"Role 1 missing. ","")&amp;IF(AND('Project Register'!J326&lt;&gt;"",'Project Register'!K326=""),"Role 2 missing. ","")&amp;IF(AND('Project Register'!L326&lt;&gt;"",'Project Register'!M326=""),"Role 3 missing. ","")&amp;IF(OR(AND('Project Register'!H326&lt;&gt;"",'Project Register'!H326='Project Register'!J326),AND('Project Register'!H326&lt;&gt;"",'Project Register'!H326='Project Register'!L326),AND('Project Register'!J326&lt;&gt;"",'Project Register'!J326='Project Register'!L326)),"Same person listed twice. ","")&amp;IF(AND('Project Register'!H326&lt;&gt;"",COUNTIF(Resources!$A$2:$A$51,'Project Register'!H326)=0),"Resource 1 not in Resources sheet. ","")&amp;IF(AND('Project Register'!J326&lt;&gt;"",COUNTIF(Resources!$A$2:$A$51,'Project Register'!J326)=0),"Resource 2 not in Resources sheet. ","")&amp;IF(AND('Project Register'!L326&lt;&gt;"",COUNTIF(Resources!$A$2:$A$51,'Project Register'!L326)=0),"Resource 3 not in Resources sheet. ","")&amp;IF('Project Register'!O326="","Test Status missing. ","")&amp;IF(AND(ISNUMBER(E326),E326&gt;1),"This task alone needs over 100% per person. ","")&amp;IF(AND('Project Register'!Q326="Deployed in Live",'Project Register'!R326=""),"Release Date blank (import date will be used). ","")))</f>
        <v/>
      </c>
      <c r="G326" s="17" t="str">
        <f aca="false">IF('Project Register'!$A326="","",IF(F326="","OK","Check"))</f>
        <v/>
      </c>
    </row>
    <row r="327" customFormat="false" ht="15" hidden="false" customHeight="false" outlineLevel="0" collapsed="false">
      <c r="A327" s="15" t="str">
        <f aca="false">IF('Project Register'!$A327="","",ROW('Project Register'!A327))</f>
        <v/>
      </c>
      <c r="B327" s="15" t="str">
        <f aca="false">IF('Project Register'!$A327="","",'Project Register'!B327)</f>
        <v/>
      </c>
      <c r="C327" s="15" t="str">
        <f aca="false">IF('Project Register'!$A327="","",IF(OR('Project Register'!E327="",'Project Register'!F327=""),"",IF('Project Register'!F327&lt;'Project Register'!E327,0,NETWORKDAYS.INTL('Project Register'!E327,'Project Register'!F327,"0000110",Holidays_Leave!$A$3:$A$62))))</f>
        <v/>
      </c>
      <c r="D327" s="15" t="str">
        <f aca="false">IF('Project Register'!$A327="","",('Project Register'!H327&lt;&gt;"")+('Project Register'!J327&lt;&gt;"")+('Project Register'!L327&lt;&gt;""))</f>
        <v/>
      </c>
      <c r="E327" s="16" t="str">
        <f aca="false">IF(OR(C327="",D327="",'Project Register'!G327=""),"",IF(OR(C327=0,D327=0),"",'Project Register'!G327/(C327*D327)))</f>
        <v/>
      </c>
      <c r="F327" s="15" t="str">
        <f aca="false">IF('Project Register'!$A327="","",TRIM(IF(OR('Project Register'!E327="",'Project Register'!F327=""),"Missing date. ","")&amp;IF(AND('Project Register'!E327&lt;&gt;"",'Project Register'!F327&lt;&gt;"",'Project Register'!F327&lt;'Project Register'!E327),"End before start. ","")&amp;IF(NOT(ISNUMBER('Project Register'!G327)),"Effort missing. ","")&amp;IF(D327=0,"No resource. ","")&amp;IF(AND('Project Register'!H327&lt;&gt;"",'Project Register'!I327=""),"Role 1 missing. ","")&amp;IF(AND('Project Register'!J327&lt;&gt;"",'Project Register'!K327=""),"Role 2 missing. ","")&amp;IF(AND('Project Register'!L327&lt;&gt;"",'Project Register'!M327=""),"Role 3 missing. ","")&amp;IF(OR(AND('Project Register'!H327&lt;&gt;"",'Project Register'!H327='Project Register'!J327),AND('Project Register'!H327&lt;&gt;"",'Project Register'!H327='Project Register'!L327),AND('Project Register'!J327&lt;&gt;"",'Project Register'!J327='Project Register'!L327)),"Same person listed twice. ","")&amp;IF(AND('Project Register'!H327&lt;&gt;"",COUNTIF(Resources!$A$2:$A$51,'Project Register'!H327)=0),"Resource 1 not in Resources sheet. ","")&amp;IF(AND('Project Register'!J327&lt;&gt;"",COUNTIF(Resources!$A$2:$A$51,'Project Register'!J327)=0),"Resource 2 not in Resources sheet. ","")&amp;IF(AND('Project Register'!L327&lt;&gt;"",COUNTIF(Resources!$A$2:$A$51,'Project Register'!L327)=0),"Resource 3 not in Resources sheet. ","")&amp;IF('Project Register'!O327="","Test Status missing. ","")&amp;IF(AND(ISNUMBER(E327),E327&gt;1),"This task alone needs over 100% per person. ","")&amp;IF(AND('Project Register'!Q327="Deployed in Live",'Project Register'!R327=""),"Release Date blank (import date will be used). ","")))</f>
        <v/>
      </c>
      <c r="G327" s="17" t="str">
        <f aca="false">IF('Project Register'!$A327="","",IF(F327="","OK","Check"))</f>
        <v/>
      </c>
    </row>
    <row r="328" customFormat="false" ht="15" hidden="false" customHeight="false" outlineLevel="0" collapsed="false">
      <c r="A328" s="15" t="str">
        <f aca="false">IF('Project Register'!$A328="","",ROW('Project Register'!A328))</f>
        <v/>
      </c>
      <c r="B328" s="15" t="str">
        <f aca="false">IF('Project Register'!$A328="","",'Project Register'!B328)</f>
        <v/>
      </c>
      <c r="C328" s="15" t="str">
        <f aca="false">IF('Project Register'!$A328="","",IF(OR('Project Register'!E328="",'Project Register'!F328=""),"",IF('Project Register'!F328&lt;'Project Register'!E328,0,NETWORKDAYS.INTL('Project Register'!E328,'Project Register'!F328,"0000110",Holidays_Leave!$A$3:$A$62))))</f>
        <v/>
      </c>
      <c r="D328" s="15" t="str">
        <f aca="false">IF('Project Register'!$A328="","",('Project Register'!H328&lt;&gt;"")+('Project Register'!J328&lt;&gt;"")+('Project Register'!L328&lt;&gt;""))</f>
        <v/>
      </c>
      <c r="E328" s="16" t="str">
        <f aca="false">IF(OR(C328="",D328="",'Project Register'!G328=""),"",IF(OR(C328=0,D328=0),"",'Project Register'!G328/(C328*D328)))</f>
        <v/>
      </c>
      <c r="F328" s="15" t="str">
        <f aca="false">IF('Project Register'!$A328="","",TRIM(IF(OR('Project Register'!E328="",'Project Register'!F328=""),"Missing date. ","")&amp;IF(AND('Project Register'!E328&lt;&gt;"",'Project Register'!F328&lt;&gt;"",'Project Register'!F328&lt;'Project Register'!E328),"End before start. ","")&amp;IF(NOT(ISNUMBER('Project Register'!G328)),"Effort missing. ","")&amp;IF(D328=0,"No resource. ","")&amp;IF(AND('Project Register'!H328&lt;&gt;"",'Project Register'!I328=""),"Role 1 missing. ","")&amp;IF(AND('Project Register'!J328&lt;&gt;"",'Project Register'!K328=""),"Role 2 missing. ","")&amp;IF(AND('Project Register'!L328&lt;&gt;"",'Project Register'!M328=""),"Role 3 missing. ","")&amp;IF(OR(AND('Project Register'!H328&lt;&gt;"",'Project Register'!H328='Project Register'!J328),AND('Project Register'!H328&lt;&gt;"",'Project Register'!H328='Project Register'!L328),AND('Project Register'!J328&lt;&gt;"",'Project Register'!J328='Project Register'!L328)),"Same person listed twice. ","")&amp;IF(AND('Project Register'!H328&lt;&gt;"",COUNTIF(Resources!$A$2:$A$51,'Project Register'!H328)=0),"Resource 1 not in Resources sheet. ","")&amp;IF(AND('Project Register'!J328&lt;&gt;"",COUNTIF(Resources!$A$2:$A$51,'Project Register'!J328)=0),"Resource 2 not in Resources sheet. ","")&amp;IF(AND('Project Register'!L328&lt;&gt;"",COUNTIF(Resources!$A$2:$A$51,'Project Register'!L328)=0),"Resource 3 not in Resources sheet. ","")&amp;IF('Project Register'!O328="","Test Status missing. ","")&amp;IF(AND(ISNUMBER(E328),E328&gt;1),"This task alone needs over 100% per person. ","")&amp;IF(AND('Project Register'!Q328="Deployed in Live",'Project Register'!R328=""),"Release Date blank (import date will be used). ","")))</f>
        <v/>
      </c>
      <c r="G328" s="17" t="str">
        <f aca="false">IF('Project Register'!$A328="","",IF(F328="","OK","Check"))</f>
        <v/>
      </c>
    </row>
    <row r="329" customFormat="false" ht="15" hidden="false" customHeight="false" outlineLevel="0" collapsed="false">
      <c r="A329" s="15" t="str">
        <f aca="false">IF('Project Register'!$A329="","",ROW('Project Register'!A329))</f>
        <v/>
      </c>
      <c r="B329" s="15" t="str">
        <f aca="false">IF('Project Register'!$A329="","",'Project Register'!B329)</f>
        <v/>
      </c>
      <c r="C329" s="15" t="str">
        <f aca="false">IF('Project Register'!$A329="","",IF(OR('Project Register'!E329="",'Project Register'!F329=""),"",IF('Project Register'!F329&lt;'Project Register'!E329,0,NETWORKDAYS.INTL('Project Register'!E329,'Project Register'!F329,"0000110",Holidays_Leave!$A$3:$A$62))))</f>
        <v/>
      </c>
      <c r="D329" s="15" t="str">
        <f aca="false">IF('Project Register'!$A329="","",('Project Register'!H329&lt;&gt;"")+('Project Register'!J329&lt;&gt;"")+('Project Register'!L329&lt;&gt;""))</f>
        <v/>
      </c>
      <c r="E329" s="16" t="str">
        <f aca="false">IF(OR(C329="",D329="",'Project Register'!G329=""),"",IF(OR(C329=0,D329=0),"",'Project Register'!G329/(C329*D329)))</f>
        <v/>
      </c>
      <c r="F329" s="15" t="str">
        <f aca="false">IF('Project Register'!$A329="","",TRIM(IF(OR('Project Register'!E329="",'Project Register'!F329=""),"Missing date. ","")&amp;IF(AND('Project Register'!E329&lt;&gt;"",'Project Register'!F329&lt;&gt;"",'Project Register'!F329&lt;'Project Register'!E329),"End before start. ","")&amp;IF(NOT(ISNUMBER('Project Register'!G329)),"Effort missing. ","")&amp;IF(D329=0,"No resource. ","")&amp;IF(AND('Project Register'!H329&lt;&gt;"",'Project Register'!I329=""),"Role 1 missing. ","")&amp;IF(AND('Project Register'!J329&lt;&gt;"",'Project Register'!K329=""),"Role 2 missing. ","")&amp;IF(AND('Project Register'!L329&lt;&gt;"",'Project Register'!M329=""),"Role 3 missing. ","")&amp;IF(OR(AND('Project Register'!H329&lt;&gt;"",'Project Register'!H329='Project Register'!J329),AND('Project Register'!H329&lt;&gt;"",'Project Register'!H329='Project Register'!L329),AND('Project Register'!J329&lt;&gt;"",'Project Register'!J329='Project Register'!L329)),"Same person listed twice. ","")&amp;IF(AND('Project Register'!H329&lt;&gt;"",COUNTIF(Resources!$A$2:$A$51,'Project Register'!H329)=0),"Resource 1 not in Resources sheet. ","")&amp;IF(AND('Project Register'!J329&lt;&gt;"",COUNTIF(Resources!$A$2:$A$51,'Project Register'!J329)=0),"Resource 2 not in Resources sheet. ","")&amp;IF(AND('Project Register'!L329&lt;&gt;"",COUNTIF(Resources!$A$2:$A$51,'Project Register'!L329)=0),"Resource 3 not in Resources sheet. ","")&amp;IF('Project Register'!O329="","Test Status missing. ","")&amp;IF(AND(ISNUMBER(E329),E329&gt;1),"This task alone needs over 100% per person. ","")&amp;IF(AND('Project Register'!Q329="Deployed in Live",'Project Register'!R329=""),"Release Date blank (import date will be used). ","")))</f>
        <v/>
      </c>
      <c r="G329" s="17" t="str">
        <f aca="false">IF('Project Register'!$A329="","",IF(F329="","OK","Check"))</f>
        <v/>
      </c>
    </row>
    <row r="330" customFormat="false" ht="15" hidden="false" customHeight="false" outlineLevel="0" collapsed="false">
      <c r="A330" s="15" t="str">
        <f aca="false">IF('Project Register'!$A330="","",ROW('Project Register'!A330))</f>
        <v/>
      </c>
      <c r="B330" s="15" t="str">
        <f aca="false">IF('Project Register'!$A330="","",'Project Register'!B330)</f>
        <v/>
      </c>
      <c r="C330" s="15" t="str">
        <f aca="false">IF('Project Register'!$A330="","",IF(OR('Project Register'!E330="",'Project Register'!F330=""),"",IF('Project Register'!F330&lt;'Project Register'!E330,0,NETWORKDAYS.INTL('Project Register'!E330,'Project Register'!F330,"0000110",Holidays_Leave!$A$3:$A$62))))</f>
        <v/>
      </c>
      <c r="D330" s="15" t="str">
        <f aca="false">IF('Project Register'!$A330="","",('Project Register'!H330&lt;&gt;"")+('Project Register'!J330&lt;&gt;"")+('Project Register'!L330&lt;&gt;""))</f>
        <v/>
      </c>
      <c r="E330" s="16" t="str">
        <f aca="false">IF(OR(C330="",D330="",'Project Register'!G330=""),"",IF(OR(C330=0,D330=0),"",'Project Register'!G330/(C330*D330)))</f>
        <v/>
      </c>
      <c r="F330" s="15" t="str">
        <f aca="false">IF('Project Register'!$A330="","",TRIM(IF(OR('Project Register'!E330="",'Project Register'!F330=""),"Missing date. ","")&amp;IF(AND('Project Register'!E330&lt;&gt;"",'Project Register'!F330&lt;&gt;"",'Project Register'!F330&lt;'Project Register'!E330),"End before start. ","")&amp;IF(NOT(ISNUMBER('Project Register'!G330)),"Effort missing. ","")&amp;IF(D330=0,"No resource. ","")&amp;IF(AND('Project Register'!H330&lt;&gt;"",'Project Register'!I330=""),"Role 1 missing. ","")&amp;IF(AND('Project Register'!J330&lt;&gt;"",'Project Register'!K330=""),"Role 2 missing. ","")&amp;IF(AND('Project Register'!L330&lt;&gt;"",'Project Register'!M330=""),"Role 3 missing. ","")&amp;IF(OR(AND('Project Register'!H330&lt;&gt;"",'Project Register'!H330='Project Register'!J330),AND('Project Register'!H330&lt;&gt;"",'Project Register'!H330='Project Register'!L330),AND('Project Register'!J330&lt;&gt;"",'Project Register'!J330='Project Register'!L330)),"Same person listed twice. ","")&amp;IF(AND('Project Register'!H330&lt;&gt;"",COUNTIF(Resources!$A$2:$A$51,'Project Register'!H330)=0),"Resource 1 not in Resources sheet. ","")&amp;IF(AND('Project Register'!J330&lt;&gt;"",COUNTIF(Resources!$A$2:$A$51,'Project Register'!J330)=0),"Resource 2 not in Resources sheet. ","")&amp;IF(AND('Project Register'!L330&lt;&gt;"",COUNTIF(Resources!$A$2:$A$51,'Project Register'!L330)=0),"Resource 3 not in Resources sheet. ","")&amp;IF('Project Register'!O330="","Test Status missing. ","")&amp;IF(AND(ISNUMBER(E330),E330&gt;1),"This task alone needs over 100% per person. ","")&amp;IF(AND('Project Register'!Q330="Deployed in Live",'Project Register'!R330=""),"Release Date blank (import date will be used). ","")))</f>
        <v/>
      </c>
      <c r="G330" s="17" t="str">
        <f aca="false">IF('Project Register'!$A330="","",IF(F330="","OK","Check"))</f>
        <v/>
      </c>
    </row>
    <row r="331" customFormat="false" ht="15" hidden="false" customHeight="false" outlineLevel="0" collapsed="false">
      <c r="A331" s="15" t="str">
        <f aca="false">IF('Project Register'!$A331="","",ROW('Project Register'!A331))</f>
        <v/>
      </c>
      <c r="B331" s="15" t="str">
        <f aca="false">IF('Project Register'!$A331="","",'Project Register'!B331)</f>
        <v/>
      </c>
      <c r="C331" s="15" t="str">
        <f aca="false">IF('Project Register'!$A331="","",IF(OR('Project Register'!E331="",'Project Register'!F331=""),"",IF('Project Register'!F331&lt;'Project Register'!E331,0,NETWORKDAYS.INTL('Project Register'!E331,'Project Register'!F331,"0000110",Holidays_Leave!$A$3:$A$62))))</f>
        <v/>
      </c>
      <c r="D331" s="15" t="str">
        <f aca="false">IF('Project Register'!$A331="","",('Project Register'!H331&lt;&gt;"")+('Project Register'!J331&lt;&gt;"")+('Project Register'!L331&lt;&gt;""))</f>
        <v/>
      </c>
      <c r="E331" s="16" t="str">
        <f aca="false">IF(OR(C331="",D331="",'Project Register'!G331=""),"",IF(OR(C331=0,D331=0),"",'Project Register'!G331/(C331*D331)))</f>
        <v/>
      </c>
      <c r="F331" s="15" t="str">
        <f aca="false">IF('Project Register'!$A331="","",TRIM(IF(OR('Project Register'!E331="",'Project Register'!F331=""),"Missing date. ","")&amp;IF(AND('Project Register'!E331&lt;&gt;"",'Project Register'!F331&lt;&gt;"",'Project Register'!F331&lt;'Project Register'!E331),"End before start. ","")&amp;IF(NOT(ISNUMBER('Project Register'!G331)),"Effort missing. ","")&amp;IF(D331=0,"No resource. ","")&amp;IF(AND('Project Register'!H331&lt;&gt;"",'Project Register'!I331=""),"Role 1 missing. ","")&amp;IF(AND('Project Register'!J331&lt;&gt;"",'Project Register'!K331=""),"Role 2 missing. ","")&amp;IF(AND('Project Register'!L331&lt;&gt;"",'Project Register'!M331=""),"Role 3 missing. ","")&amp;IF(OR(AND('Project Register'!H331&lt;&gt;"",'Project Register'!H331='Project Register'!J331),AND('Project Register'!H331&lt;&gt;"",'Project Register'!H331='Project Register'!L331),AND('Project Register'!J331&lt;&gt;"",'Project Register'!J331='Project Register'!L331)),"Same person listed twice. ","")&amp;IF(AND('Project Register'!H331&lt;&gt;"",COUNTIF(Resources!$A$2:$A$51,'Project Register'!H331)=0),"Resource 1 not in Resources sheet. ","")&amp;IF(AND('Project Register'!J331&lt;&gt;"",COUNTIF(Resources!$A$2:$A$51,'Project Register'!J331)=0),"Resource 2 not in Resources sheet. ","")&amp;IF(AND('Project Register'!L331&lt;&gt;"",COUNTIF(Resources!$A$2:$A$51,'Project Register'!L331)=0),"Resource 3 not in Resources sheet. ","")&amp;IF('Project Register'!O331="","Test Status missing. ","")&amp;IF(AND(ISNUMBER(E331),E331&gt;1),"This task alone needs over 100% per person. ","")&amp;IF(AND('Project Register'!Q331="Deployed in Live",'Project Register'!R331=""),"Release Date blank (import date will be used). ","")))</f>
        <v/>
      </c>
      <c r="G331" s="17" t="str">
        <f aca="false">IF('Project Register'!$A331="","",IF(F331="","OK","Check"))</f>
        <v/>
      </c>
    </row>
    <row r="332" customFormat="false" ht="15" hidden="false" customHeight="false" outlineLevel="0" collapsed="false">
      <c r="A332" s="15" t="str">
        <f aca="false">IF('Project Register'!$A332="","",ROW('Project Register'!A332))</f>
        <v/>
      </c>
      <c r="B332" s="15" t="str">
        <f aca="false">IF('Project Register'!$A332="","",'Project Register'!B332)</f>
        <v/>
      </c>
      <c r="C332" s="15" t="str">
        <f aca="false">IF('Project Register'!$A332="","",IF(OR('Project Register'!E332="",'Project Register'!F332=""),"",IF('Project Register'!F332&lt;'Project Register'!E332,0,NETWORKDAYS.INTL('Project Register'!E332,'Project Register'!F332,"0000110",Holidays_Leave!$A$3:$A$62))))</f>
        <v/>
      </c>
      <c r="D332" s="15" t="str">
        <f aca="false">IF('Project Register'!$A332="","",('Project Register'!H332&lt;&gt;"")+('Project Register'!J332&lt;&gt;"")+('Project Register'!L332&lt;&gt;""))</f>
        <v/>
      </c>
      <c r="E332" s="16" t="str">
        <f aca="false">IF(OR(C332="",D332="",'Project Register'!G332=""),"",IF(OR(C332=0,D332=0),"",'Project Register'!G332/(C332*D332)))</f>
        <v/>
      </c>
      <c r="F332" s="15" t="str">
        <f aca="false">IF('Project Register'!$A332="","",TRIM(IF(OR('Project Register'!E332="",'Project Register'!F332=""),"Missing date. ","")&amp;IF(AND('Project Register'!E332&lt;&gt;"",'Project Register'!F332&lt;&gt;"",'Project Register'!F332&lt;'Project Register'!E332),"End before start. ","")&amp;IF(NOT(ISNUMBER('Project Register'!G332)),"Effort missing. ","")&amp;IF(D332=0,"No resource. ","")&amp;IF(AND('Project Register'!H332&lt;&gt;"",'Project Register'!I332=""),"Role 1 missing. ","")&amp;IF(AND('Project Register'!J332&lt;&gt;"",'Project Register'!K332=""),"Role 2 missing. ","")&amp;IF(AND('Project Register'!L332&lt;&gt;"",'Project Register'!M332=""),"Role 3 missing. ","")&amp;IF(OR(AND('Project Register'!H332&lt;&gt;"",'Project Register'!H332='Project Register'!J332),AND('Project Register'!H332&lt;&gt;"",'Project Register'!H332='Project Register'!L332),AND('Project Register'!J332&lt;&gt;"",'Project Register'!J332='Project Register'!L332)),"Same person listed twice. ","")&amp;IF(AND('Project Register'!H332&lt;&gt;"",COUNTIF(Resources!$A$2:$A$51,'Project Register'!H332)=0),"Resource 1 not in Resources sheet. ","")&amp;IF(AND('Project Register'!J332&lt;&gt;"",COUNTIF(Resources!$A$2:$A$51,'Project Register'!J332)=0),"Resource 2 not in Resources sheet. ","")&amp;IF(AND('Project Register'!L332&lt;&gt;"",COUNTIF(Resources!$A$2:$A$51,'Project Register'!L332)=0),"Resource 3 not in Resources sheet. ","")&amp;IF('Project Register'!O332="","Test Status missing. ","")&amp;IF(AND(ISNUMBER(E332),E332&gt;1),"This task alone needs over 100% per person. ","")&amp;IF(AND('Project Register'!Q332="Deployed in Live",'Project Register'!R332=""),"Release Date blank (import date will be used). ","")))</f>
        <v/>
      </c>
      <c r="G332" s="17" t="str">
        <f aca="false">IF('Project Register'!$A332="","",IF(F332="","OK","Check"))</f>
        <v/>
      </c>
    </row>
    <row r="333" customFormat="false" ht="15" hidden="false" customHeight="false" outlineLevel="0" collapsed="false">
      <c r="A333" s="15" t="str">
        <f aca="false">IF('Project Register'!$A333="","",ROW('Project Register'!A333))</f>
        <v/>
      </c>
      <c r="B333" s="15" t="str">
        <f aca="false">IF('Project Register'!$A333="","",'Project Register'!B333)</f>
        <v/>
      </c>
      <c r="C333" s="15" t="str">
        <f aca="false">IF('Project Register'!$A333="","",IF(OR('Project Register'!E333="",'Project Register'!F333=""),"",IF('Project Register'!F333&lt;'Project Register'!E333,0,NETWORKDAYS.INTL('Project Register'!E333,'Project Register'!F333,"0000110",Holidays_Leave!$A$3:$A$62))))</f>
        <v/>
      </c>
      <c r="D333" s="15" t="str">
        <f aca="false">IF('Project Register'!$A333="","",('Project Register'!H333&lt;&gt;"")+('Project Register'!J333&lt;&gt;"")+('Project Register'!L333&lt;&gt;""))</f>
        <v/>
      </c>
      <c r="E333" s="16" t="str">
        <f aca="false">IF(OR(C333="",D333="",'Project Register'!G333=""),"",IF(OR(C333=0,D333=0),"",'Project Register'!G333/(C333*D333)))</f>
        <v/>
      </c>
      <c r="F333" s="15" t="str">
        <f aca="false">IF('Project Register'!$A333="","",TRIM(IF(OR('Project Register'!E333="",'Project Register'!F333=""),"Missing date. ","")&amp;IF(AND('Project Register'!E333&lt;&gt;"",'Project Register'!F333&lt;&gt;"",'Project Register'!F333&lt;'Project Register'!E333),"End before start. ","")&amp;IF(NOT(ISNUMBER('Project Register'!G333)),"Effort missing. ","")&amp;IF(D333=0,"No resource. ","")&amp;IF(AND('Project Register'!H333&lt;&gt;"",'Project Register'!I333=""),"Role 1 missing. ","")&amp;IF(AND('Project Register'!J333&lt;&gt;"",'Project Register'!K333=""),"Role 2 missing. ","")&amp;IF(AND('Project Register'!L333&lt;&gt;"",'Project Register'!M333=""),"Role 3 missing. ","")&amp;IF(OR(AND('Project Register'!H333&lt;&gt;"",'Project Register'!H333='Project Register'!J333),AND('Project Register'!H333&lt;&gt;"",'Project Register'!H333='Project Register'!L333),AND('Project Register'!J333&lt;&gt;"",'Project Register'!J333='Project Register'!L333)),"Same person listed twice. ","")&amp;IF(AND('Project Register'!H333&lt;&gt;"",COUNTIF(Resources!$A$2:$A$51,'Project Register'!H333)=0),"Resource 1 not in Resources sheet. ","")&amp;IF(AND('Project Register'!J333&lt;&gt;"",COUNTIF(Resources!$A$2:$A$51,'Project Register'!J333)=0),"Resource 2 not in Resources sheet. ","")&amp;IF(AND('Project Register'!L333&lt;&gt;"",COUNTIF(Resources!$A$2:$A$51,'Project Register'!L333)=0),"Resource 3 not in Resources sheet. ","")&amp;IF('Project Register'!O333="","Test Status missing. ","")&amp;IF(AND(ISNUMBER(E333),E333&gt;1),"This task alone needs over 100% per person. ","")&amp;IF(AND('Project Register'!Q333="Deployed in Live",'Project Register'!R333=""),"Release Date blank (import date will be used). ","")))</f>
        <v/>
      </c>
      <c r="G333" s="17" t="str">
        <f aca="false">IF('Project Register'!$A333="","",IF(F333="","OK","Check"))</f>
        <v/>
      </c>
    </row>
    <row r="334" customFormat="false" ht="15" hidden="false" customHeight="false" outlineLevel="0" collapsed="false">
      <c r="A334" s="15" t="str">
        <f aca="false">IF('Project Register'!$A334="","",ROW('Project Register'!A334))</f>
        <v/>
      </c>
      <c r="B334" s="15" t="str">
        <f aca="false">IF('Project Register'!$A334="","",'Project Register'!B334)</f>
        <v/>
      </c>
      <c r="C334" s="15" t="str">
        <f aca="false">IF('Project Register'!$A334="","",IF(OR('Project Register'!E334="",'Project Register'!F334=""),"",IF('Project Register'!F334&lt;'Project Register'!E334,0,NETWORKDAYS.INTL('Project Register'!E334,'Project Register'!F334,"0000110",Holidays_Leave!$A$3:$A$62))))</f>
        <v/>
      </c>
      <c r="D334" s="15" t="str">
        <f aca="false">IF('Project Register'!$A334="","",('Project Register'!H334&lt;&gt;"")+('Project Register'!J334&lt;&gt;"")+('Project Register'!L334&lt;&gt;""))</f>
        <v/>
      </c>
      <c r="E334" s="16" t="str">
        <f aca="false">IF(OR(C334="",D334="",'Project Register'!G334=""),"",IF(OR(C334=0,D334=0),"",'Project Register'!G334/(C334*D334)))</f>
        <v/>
      </c>
      <c r="F334" s="15" t="str">
        <f aca="false">IF('Project Register'!$A334="","",TRIM(IF(OR('Project Register'!E334="",'Project Register'!F334=""),"Missing date. ","")&amp;IF(AND('Project Register'!E334&lt;&gt;"",'Project Register'!F334&lt;&gt;"",'Project Register'!F334&lt;'Project Register'!E334),"End before start. ","")&amp;IF(NOT(ISNUMBER('Project Register'!G334)),"Effort missing. ","")&amp;IF(D334=0,"No resource. ","")&amp;IF(AND('Project Register'!H334&lt;&gt;"",'Project Register'!I334=""),"Role 1 missing. ","")&amp;IF(AND('Project Register'!J334&lt;&gt;"",'Project Register'!K334=""),"Role 2 missing. ","")&amp;IF(AND('Project Register'!L334&lt;&gt;"",'Project Register'!M334=""),"Role 3 missing. ","")&amp;IF(OR(AND('Project Register'!H334&lt;&gt;"",'Project Register'!H334='Project Register'!J334),AND('Project Register'!H334&lt;&gt;"",'Project Register'!H334='Project Register'!L334),AND('Project Register'!J334&lt;&gt;"",'Project Register'!J334='Project Register'!L334)),"Same person listed twice. ","")&amp;IF(AND('Project Register'!H334&lt;&gt;"",COUNTIF(Resources!$A$2:$A$51,'Project Register'!H334)=0),"Resource 1 not in Resources sheet. ","")&amp;IF(AND('Project Register'!J334&lt;&gt;"",COUNTIF(Resources!$A$2:$A$51,'Project Register'!J334)=0),"Resource 2 not in Resources sheet. ","")&amp;IF(AND('Project Register'!L334&lt;&gt;"",COUNTIF(Resources!$A$2:$A$51,'Project Register'!L334)=0),"Resource 3 not in Resources sheet. ","")&amp;IF('Project Register'!O334="","Test Status missing. ","")&amp;IF(AND(ISNUMBER(E334),E334&gt;1),"This task alone needs over 100% per person. ","")&amp;IF(AND('Project Register'!Q334="Deployed in Live",'Project Register'!R334=""),"Release Date blank (import date will be used). ","")))</f>
        <v/>
      </c>
      <c r="G334" s="17" t="str">
        <f aca="false">IF('Project Register'!$A334="","",IF(F334="","OK","Check"))</f>
        <v/>
      </c>
    </row>
    <row r="335" customFormat="false" ht="15" hidden="false" customHeight="false" outlineLevel="0" collapsed="false">
      <c r="A335" s="15" t="str">
        <f aca="false">IF('Project Register'!$A335="","",ROW('Project Register'!A335))</f>
        <v/>
      </c>
      <c r="B335" s="15" t="str">
        <f aca="false">IF('Project Register'!$A335="","",'Project Register'!B335)</f>
        <v/>
      </c>
      <c r="C335" s="15" t="str">
        <f aca="false">IF('Project Register'!$A335="","",IF(OR('Project Register'!E335="",'Project Register'!F335=""),"",IF('Project Register'!F335&lt;'Project Register'!E335,0,NETWORKDAYS.INTL('Project Register'!E335,'Project Register'!F335,"0000110",Holidays_Leave!$A$3:$A$62))))</f>
        <v/>
      </c>
      <c r="D335" s="15" t="str">
        <f aca="false">IF('Project Register'!$A335="","",('Project Register'!H335&lt;&gt;"")+('Project Register'!J335&lt;&gt;"")+('Project Register'!L335&lt;&gt;""))</f>
        <v/>
      </c>
      <c r="E335" s="16" t="str">
        <f aca="false">IF(OR(C335="",D335="",'Project Register'!G335=""),"",IF(OR(C335=0,D335=0),"",'Project Register'!G335/(C335*D335)))</f>
        <v/>
      </c>
      <c r="F335" s="15" t="str">
        <f aca="false">IF('Project Register'!$A335="","",TRIM(IF(OR('Project Register'!E335="",'Project Register'!F335=""),"Missing date. ","")&amp;IF(AND('Project Register'!E335&lt;&gt;"",'Project Register'!F335&lt;&gt;"",'Project Register'!F335&lt;'Project Register'!E335),"End before start. ","")&amp;IF(NOT(ISNUMBER('Project Register'!G335)),"Effort missing. ","")&amp;IF(D335=0,"No resource. ","")&amp;IF(AND('Project Register'!H335&lt;&gt;"",'Project Register'!I335=""),"Role 1 missing. ","")&amp;IF(AND('Project Register'!J335&lt;&gt;"",'Project Register'!K335=""),"Role 2 missing. ","")&amp;IF(AND('Project Register'!L335&lt;&gt;"",'Project Register'!M335=""),"Role 3 missing. ","")&amp;IF(OR(AND('Project Register'!H335&lt;&gt;"",'Project Register'!H335='Project Register'!J335),AND('Project Register'!H335&lt;&gt;"",'Project Register'!H335='Project Register'!L335),AND('Project Register'!J335&lt;&gt;"",'Project Register'!J335='Project Register'!L335)),"Same person listed twice. ","")&amp;IF(AND('Project Register'!H335&lt;&gt;"",COUNTIF(Resources!$A$2:$A$51,'Project Register'!H335)=0),"Resource 1 not in Resources sheet. ","")&amp;IF(AND('Project Register'!J335&lt;&gt;"",COUNTIF(Resources!$A$2:$A$51,'Project Register'!J335)=0),"Resource 2 not in Resources sheet. ","")&amp;IF(AND('Project Register'!L335&lt;&gt;"",COUNTIF(Resources!$A$2:$A$51,'Project Register'!L335)=0),"Resource 3 not in Resources sheet. ","")&amp;IF('Project Register'!O335="","Test Status missing. ","")&amp;IF(AND(ISNUMBER(E335),E335&gt;1),"This task alone needs over 100% per person. ","")&amp;IF(AND('Project Register'!Q335="Deployed in Live",'Project Register'!R335=""),"Release Date blank (import date will be used). ","")))</f>
        <v/>
      </c>
      <c r="G335" s="17" t="str">
        <f aca="false">IF('Project Register'!$A335="","",IF(F335="","OK","Check"))</f>
        <v/>
      </c>
    </row>
    <row r="336" customFormat="false" ht="15" hidden="false" customHeight="false" outlineLevel="0" collapsed="false">
      <c r="A336" s="15" t="str">
        <f aca="false">IF('Project Register'!$A336="","",ROW('Project Register'!A336))</f>
        <v/>
      </c>
      <c r="B336" s="15" t="str">
        <f aca="false">IF('Project Register'!$A336="","",'Project Register'!B336)</f>
        <v/>
      </c>
      <c r="C336" s="15" t="str">
        <f aca="false">IF('Project Register'!$A336="","",IF(OR('Project Register'!E336="",'Project Register'!F336=""),"",IF('Project Register'!F336&lt;'Project Register'!E336,0,NETWORKDAYS.INTL('Project Register'!E336,'Project Register'!F336,"0000110",Holidays_Leave!$A$3:$A$62))))</f>
        <v/>
      </c>
      <c r="D336" s="15" t="str">
        <f aca="false">IF('Project Register'!$A336="","",('Project Register'!H336&lt;&gt;"")+('Project Register'!J336&lt;&gt;"")+('Project Register'!L336&lt;&gt;""))</f>
        <v/>
      </c>
      <c r="E336" s="16" t="str">
        <f aca="false">IF(OR(C336="",D336="",'Project Register'!G336=""),"",IF(OR(C336=0,D336=0),"",'Project Register'!G336/(C336*D336)))</f>
        <v/>
      </c>
      <c r="F336" s="15" t="str">
        <f aca="false">IF('Project Register'!$A336="","",TRIM(IF(OR('Project Register'!E336="",'Project Register'!F336=""),"Missing date. ","")&amp;IF(AND('Project Register'!E336&lt;&gt;"",'Project Register'!F336&lt;&gt;"",'Project Register'!F336&lt;'Project Register'!E336),"End before start. ","")&amp;IF(NOT(ISNUMBER('Project Register'!G336)),"Effort missing. ","")&amp;IF(D336=0,"No resource. ","")&amp;IF(AND('Project Register'!H336&lt;&gt;"",'Project Register'!I336=""),"Role 1 missing. ","")&amp;IF(AND('Project Register'!J336&lt;&gt;"",'Project Register'!K336=""),"Role 2 missing. ","")&amp;IF(AND('Project Register'!L336&lt;&gt;"",'Project Register'!M336=""),"Role 3 missing. ","")&amp;IF(OR(AND('Project Register'!H336&lt;&gt;"",'Project Register'!H336='Project Register'!J336),AND('Project Register'!H336&lt;&gt;"",'Project Register'!H336='Project Register'!L336),AND('Project Register'!J336&lt;&gt;"",'Project Register'!J336='Project Register'!L336)),"Same person listed twice. ","")&amp;IF(AND('Project Register'!H336&lt;&gt;"",COUNTIF(Resources!$A$2:$A$51,'Project Register'!H336)=0),"Resource 1 not in Resources sheet. ","")&amp;IF(AND('Project Register'!J336&lt;&gt;"",COUNTIF(Resources!$A$2:$A$51,'Project Register'!J336)=0),"Resource 2 not in Resources sheet. ","")&amp;IF(AND('Project Register'!L336&lt;&gt;"",COUNTIF(Resources!$A$2:$A$51,'Project Register'!L336)=0),"Resource 3 not in Resources sheet. ","")&amp;IF('Project Register'!O336="","Test Status missing. ","")&amp;IF(AND(ISNUMBER(E336),E336&gt;1),"This task alone needs over 100% per person. ","")&amp;IF(AND('Project Register'!Q336="Deployed in Live",'Project Register'!R336=""),"Release Date blank (import date will be used). ","")))</f>
        <v/>
      </c>
      <c r="G336" s="17" t="str">
        <f aca="false">IF('Project Register'!$A336="","",IF(F336="","OK","Check"))</f>
        <v/>
      </c>
    </row>
    <row r="337" customFormat="false" ht="15" hidden="false" customHeight="false" outlineLevel="0" collapsed="false">
      <c r="A337" s="15" t="str">
        <f aca="false">IF('Project Register'!$A337="","",ROW('Project Register'!A337))</f>
        <v/>
      </c>
      <c r="B337" s="15" t="str">
        <f aca="false">IF('Project Register'!$A337="","",'Project Register'!B337)</f>
        <v/>
      </c>
      <c r="C337" s="15" t="str">
        <f aca="false">IF('Project Register'!$A337="","",IF(OR('Project Register'!E337="",'Project Register'!F337=""),"",IF('Project Register'!F337&lt;'Project Register'!E337,0,NETWORKDAYS.INTL('Project Register'!E337,'Project Register'!F337,"0000110",Holidays_Leave!$A$3:$A$62))))</f>
        <v/>
      </c>
      <c r="D337" s="15" t="str">
        <f aca="false">IF('Project Register'!$A337="","",('Project Register'!H337&lt;&gt;"")+('Project Register'!J337&lt;&gt;"")+('Project Register'!L337&lt;&gt;""))</f>
        <v/>
      </c>
      <c r="E337" s="16" t="str">
        <f aca="false">IF(OR(C337="",D337="",'Project Register'!G337=""),"",IF(OR(C337=0,D337=0),"",'Project Register'!G337/(C337*D337)))</f>
        <v/>
      </c>
      <c r="F337" s="15" t="str">
        <f aca="false">IF('Project Register'!$A337="","",TRIM(IF(OR('Project Register'!E337="",'Project Register'!F337=""),"Missing date. ","")&amp;IF(AND('Project Register'!E337&lt;&gt;"",'Project Register'!F337&lt;&gt;"",'Project Register'!F337&lt;'Project Register'!E337),"End before start. ","")&amp;IF(NOT(ISNUMBER('Project Register'!G337)),"Effort missing. ","")&amp;IF(D337=0,"No resource. ","")&amp;IF(AND('Project Register'!H337&lt;&gt;"",'Project Register'!I337=""),"Role 1 missing. ","")&amp;IF(AND('Project Register'!J337&lt;&gt;"",'Project Register'!K337=""),"Role 2 missing. ","")&amp;IF(AND('Project Register'!L337&lt;&gt;"",'Project Register'!M337=""),"Role 3 missing. ","")&amp;IF(OR(AND('Project Register'!H337&lt;&gt;"",'Project Register'!H337='Project Register'!J337),AND('Project Register'!H337&lt;&gt;"",'Project Register'!H337='Project Register'!L337),AND('Project Register'!J337&lt;&gt;"",'Project Register'!J337='Project Register'!L337)),"Same person listed twice. ","")&amp;IF(AND('Project Register'!H337&lt;&gt;"",COUNTIF(Resources!$A$2:$A$51,'Project Register'!H337)=0),"Resource 1 not in Resources sheet. ","")&amp;IF(AND('Project Register'!J337&lt;&gt;"",COUNTIF(Resources!$A$2:$A$51,'Project Register'!J337)=0),"Resource 2 not in Resources sheet. ","")&amp;IF(AND('Project Register'!L337&lt;&gt;"",COUNTIF(Resources!$A$2:$A$51,'Project Register'!L337)=0),"Resource 3 not in Resources sheet. ","")&amp;IF('Project Register'!O337="","Test Status missing. ","")&amp;IF(AND(ISNUMBER(E337),E337&gt;1),"This task alone needs over 100% per person. ","")&amp;IF(AND('Project Register'!Q337="Deployed in Live",'Project Register'!R337=""),"Release Date blank (import date will be used). ","")))</f>
        <v/>
      </c>
      <c r="G337" s="17" t="str">
        <f aca="false">IF('Project Register'!$A337="","",IF(F337="","OK","Check"))</f>
        <v/>
      </c>
    </row>
    <row r="338" customFormat="false" ht="15" hidden="false" customHeight="false" outlineLevel="0" collapsed="false">
      <c r="A338" s="15" t="str">
        <f aca="false">IF('Project Register'!$A338="","",ROW('Project Register'!A338))</f>
        <v/>
      </c>
      <c r="B338" s="15" t="str">
        <f aca="false">IF('Project Register'!$A338="","",'Project Register'!B338)</f>
        <v/>
      </c>
      <c r="C338" s="15" t="str">
        <f aca="false">IF('Project Register'!$A338="","",IF(OR('Project Register'!E338="",'Project Register'!F338=""),"",IF('Project Register'!F338&lt;'Project Register'!E338,0,NETWORKDAYS.INTL('Project Register'!E338,'Project Register'!F338,"0000110",Holidays_Leave!$A$3:$A$62))))</f>
        <v/>
      </c>
      <c r="D338" s="15" t="str">
        <f aca="false">IF('Project Register'!$A338="","",('Project Register'!H338&lt;&gt;"")+('Project Register'!J338&lt;&gt;"")+('Project Register'!L338&lt;&gt;""))</f>
        <v/>
      </c>
      <c r="E338" s="16" t="str">
        <f aca="false">IF(OR(C338="",D338="",'Project Register'!G338=""),"",IF(OR(C338=0,D338=0),"",'Project Register'!G338/(C338*D338)))</f>
        <v/>
      </c>
      <c r="F338" s="15" t="str">
        <f aca="false">IF('Project Register'!$A338="","",TRIM(IF(OR('Project Register'!E338="",'Project Register'!F338=""),"Missing date. ","")&amp;IF(AND('Project Register'!E338&lt;&gt;"",'Project Register'!F338&lt;&gt;"",'Project Register'!F338&lt;'Project Register'!E338),"End before start. ","")&amp;IF(NOT(ISNUMBER('Project Register'!G338)),"Effort missing. ","")&amp;IF(D338=0,"No resource. ","")&amp;IF(AND('Project Register'!H338&lt;&gt;"",'Project Register'!I338=""),"Role 1 missing. ","")&amp;IF(AND('Project Register'!J338&lt;&gt;"",'Project Register'!K338=""),"Role 2 missing. ","")&amp;IF(AND('Project Register'!L338&lt;&gt;"",'Project Register'!M338=""),"Role 3 missing. ","")&amp;IF(OR(AND('Project Register'!H338&lt;&gt;"",'Project Register'!H338='Project Register'!J338),AND('Project Register'!H338&lt;&gt;"",'Project Register'!H338='Project Register'!L338),AND('Project Register'!J338&lt;&gt;"",'Project Register'!J338='Project Register'!L338)),"Same person listed twice. ","")&amp;IF(AND('Project Register'!H338&lt;&gt;"",COUNTIF(Resources!$A$2:$A$51,'Project Register'!H338)=0),"Resource 1 not in Resources sheet. ","")&amp;IF(AND('Project Register'!J338&lt;&gt;"",COUNTIF(Resources!$A$2:$A$51,'Project Register'!J338)=0),"Resource 2 not in Resources sheet. ","")&amp;IF(AND('Project Register'!L338&lt;&gt;"",COUNTIF(Resources!$A$2:$A$51,'Project Register'!L338)=0),"Resource 3 not in Resources sheet. ","")&amp;IF('Project Register'!O338="","Test Status missing. ","")&amp;IF(AND(ISNUMBER(E338),E338&gt;1),"This task alone needs over 100% per person. ","")&amp;IF(AND('Project Register'!Q338="Deployed in Live",'Project Register'!R338=""),"Release Date blank (import date will be used). ","")))</f>
        <v/>
      </c>
      <c r="G338" s="17" t="str">
        <f aca="false">IF('Project Register'!$A338="","",IF(F338="","OK","Check"))</f>
        <v/>
      </c>
    </row>
    <row r="339" customFormat="false" ht="15" hidden="false" customHeight="false" outlineLevel="0" collapsed="false">
      <c r="A339" s="15" t="str">
        <f aca="false">IF('Project Register'!$A339="","",ROW('Project Register'!A339))</f>
        <v/>
      </c>
      <c r="B339" s="15" t="str">
        <f aca="false">IF('Project Register'!$A339="","",'Project Register'!B339)</f>
        <v/>
      </c>
      <c r="C339" s="15" t="str">
        <f aca="false">IF('Project Register'!$A339="","",IF(OR('Project Register'!E339="",'Project Register'!F339=""),"",IF('Project Register'!F339&lt;'Project Register'!E339,0,NETWORKDAYS.INTL('Project Register'!E339,'Project Register'!F339,"0000110",Holidays_Leave!$A$3:$A$62))))</f>
        <v/>
      </c>
      <c r="D339" s="15" t="str">
        <f aca="false">IF('Project Register'!$A339="","",('Project Register'!H339&lt;&gt;"")+('Project Register'!J339&lt;&gt;"")+('Project Register'!L339&lt;&gt;""))</f>
        <v/>
      </c>
      <c r="E339" s="16" t="str">
        <f aca="false">IF(OR(C339="",D339="",'Project Register'!G339=""),"",IF(OR(C339=0,D339=0),"",'Project Register'!G339/(C339*D339)))</f>
        <v/>
      </c>
      <c r="F339" s="15" t="str">
        <f aca="false">IF('Project Register'!$A339="","",TRIM(IF(OR('Project Register'!E339="",'Project Register'!F339=""),"Missing date. ","")&amp;IF(AND('Project Register'!E339&lt;&gt;"",'Project Register'!F339&lt;&gt;"",'Project Register'!F339&lt;'Project Register'!E339),"End before start. ","")&amp;IF(NOT(ISNUMBER('Project Register'!G339)),"Effort missing. ","")&amp;IF(D339=0,"No resource. ","")&amp;IF(AND('Project Register'!H339&lt;&gt;"",'Project Register'!I339=""),"Role 1 missing. ","")&amp;IF(AND('Project Register'!J339&lt;&gt;"",'Project Register'!K339=""),"Role 2 missing. ","")&amp;IF(AND('Project Register'!L339&lt;&gt;"",'Project Register'!M339=""),"Role 3 missing. ","")&amp;IF(OR(AND('Project Register'!H339&lt;&gt;"",'Project Register'!H339='Project Register'!J339),AND('Project Register'!H339&lt;&gt;"",'Project Register'!H339='Project Register'!L339),AND('Project Register'!J339&lt;&gt;"",'Project Register'!J339='Project Register'!L339)),"Same person listed twice. ","")&amp;IF(AND('Project Register'!H339&lt;&gt;"",COUNTIF(Resources!$A$2:$A$51,'Project Register'!H339)=0),"Resource 1 not in Resources sheet. ","")&amp;IF(AND('Project Register'!J339&lt;&gt;"",COUNTIF(Resources!$A$2:$A$51,'Project Register'!J339)=0),"Resource 2 not in Resources sheet. ","")&amp;IF(AND('Project Register'!L339&lt;&gt;"",COUNTIF(Resources!$A$2:$A$51,'Project Register'!L339)=0),"Resource 3 not in Resources sheet. ","")&amp;IF('Project Register'!O339="","Test Status missing. ","")&amp;IF(AND(ISNUMBER(E339),E339&gt;1),"This task alone needs over 100% per person. ","")&amp;IF(AND('Project Register'!Q339="Deployed in Live",'Project Register'!R339=""),"Release Date blank (import date will be used). ","")))</f>
        <v/>
      </c>
      <c r="G339" s="17" t="str">
        <f aca="false">IF('Project Register'!$A339="","",IF(F339="","OK","Check"))</f>
        <v/>
      </c>
    </row>
    <row r="340" customFormat="false" ht="15" hidden="false" customHeight="false" outlineLevel="0" collapsed="false">
      <c r="A340" s="15" t="str">
        <f aca="false">IF('Project Register'!$A340="","",ROW('Project Register'!A340))</f>
        <v/>
      </c>
      <c r="B340" s="15" t="str">
        <f aca="false">IF('Project Register'!$A340="","",'Project Register'!B340)</f>
        <v/>
      </c>
      <c r="C340" s="15" t="str">
        <f aca="false">IF('Project Register'!$A340="","",IF(OR('Project Register'!E340="",'Project Register'!F340=""),"",IF('Project Register'!F340&lt;'Project Register'!E340,0,NETWORKDAYS.INTL('Project Register'!E340,'Project Register'!F340,"0000110",Holidays_Leave!$A$3:$A$62))))</f>
        <v/>
      </c>
      <c r="D340" s="15" t="str">
        <f aca="false">IF('Project Register'!$A340="","",('Project Register'!H340&lt;&gt;"")+('Project Register'!J340&lt;&gt;"")+('Project Register'!L340&lt;&gt;""))</f>
        <v/>
      </c>
      <c r="E340" s="16" t="str">
        <f aca="false">IF(OR(C340="",D340="",'Project Register'!G340=""),"",IF(OR(C340=0,D340=0),"",'Project Register'!G340/(C340*D340)))</f>
        <v/>
      </c>
      <c r="F340" s="15" t="str">
        <f aca="false">IF('Project Register'!$A340="","",TRIM(IF(OR('Project Register'!E340="",'Project Register'!F340=""),"Missing date. ","")&amp;IF(AND('Project Register'!E340&lt;&gt;"",'Project Register'!F340&lt;&gt;"",'Project Register'!F340&lt;'Project Register'!E340),"End before start. ","")&amp;IF(NOT(ISNUMBER('Project Register'!G340)),"Effort missing. ","")&amp;IF(D340=0,"No resource. ","")&amp;IF(AND('Project Register'!H340&lt;&gt;"",'Project Register'!I340=""),"Role 1 missing. ","")&amp;IF(AND('Project Register'!J340&lt;&gt;"",'Project Register'!K340=""),"Role 2 missing. ","")&amp;IF(AND('Project Register'!L340&lt;&gt;"",'Project Register'!M340=""),"Role 3 missing. ","")&amp;IF(OR(AND('Project Register'!H340&lt;&gt;"",'Project Register'!H340='Project Register'!J340),AND('Project Register'!H340&lt;&gt;"",'Project Register'!H340='Project Register'!L340),AND('Project Register'!J340&lt;&gt;"",'Project Register'!J340='Project Register'!L340)),"Same person listed twice. ","")&amp;IF(AND('Project Register'!H340&lt;&gt;"",COUNTIF(Resources!$A$2:$A$51,'Project Register'!H340)=0),"Resource 1 not in Resources sheet. ","")&amp;IF(AND('Project Register'!J340&lt;&gt;"",COUNTIF(Resources!$A$2:$A$51,'Project Register'!J340)=0),"Resource 2 not in Resources sheet. ","")&amp;IF(AND('Project Register'!L340&lt;&gt;"",COUNTIF(Resources!$A$2:$A$51,'Project Register'!L340)=0),"Resource 3 not in Resources sheet. ","")&amp;IF('Project Register'!O340="","Test Status missing. ","")&amp;IF(AND(ISNUMBER(E340),E340&gt;1),"This task alone needs over 100% per person. ","")&amp;IF(AND('Project Register'!Q340="Deployed in Live",'Project Register'!R340=""),"Release Date blank (import date will be used). ","")))</f>
        <v/>
      </c>
      <c r="G340" s="17" t="str">
        <f aca="false">IF('Project Register'!$A340="","",IF(F340="","OK","Check"))</f>
        <v/>
      </c>
    </row>
    <row r="341" customFormat="false" ht="15" hidden="false" customHeight="false" outlineLevel="0" collapsed="false">
      <c r="A341" s="15" t="str">
        <f aca="false">IF('Project Register'!$A341="","",ROW('Project Register'!A341))</f>
        <v/>
      </c>
      <c r="B341" s="15" t="str">
        <f aca="false">IF('Project Register'!$A341="","",'Project Register'!B341)</f>
        <v/>
      </c>
      <c r="C341" s="15" t="str">
        <f aca="false">IF('Project Register'!$A341="","",IF(OR('Project Register'!E341="",'Project Register'!F341=""),"",IF('Project Register'!F341&lt;'Project Register'!E341,0,NETWORKDAYS.INTL('Project Register'!E341,'Project Register'!F341,"0000110",Holidays_Leave!$A$3:$A$62))))</f>
        <v/>
      </c>
      <c r="D341" s="15" t="str">
        <f aca="false">IF('Project Register'!$A341="","",('Project Register'!H341&lt;&gt;"")+('Project Register'!J341&lt;&gt;"")+('Project Register'!L341&lt;&gt;""))</f>
        <v/>
      </c>
      <c r="E341" s="16" t="str">
        <f aca="false">IF(OR(C341="",D341="",'Project Register'!G341=""),"",IF(OR(C341=0,D341=0),"",'Project Register'!G341/(C341*D341)))</f>
        <v/>
      </c>
      <c r="F341" s="15" t="str">
        <f aca="false">IF('Project Register'!$A341="","",TRIM(IF(OR('Project Register'!E341="",'Project Register'!F341=""),"Missing date. ","")&amp;IF(AND('Project Register'!E341&lt;&gt;"",'Project Register'!F341&lt;&gt;"",'Project Register'!F341&lt;'Project Register'!E341),"End before start. ","")&amp;IF(NOT(ISNUMBER('Project Register'!G341)),"Effort missing. ","")&amp;IF(D341=0,"No resource. ","")&amp;IF(AND('Project Register'!H341&lt;&gt;"",'Project Register'!I341=""),"Role 1 missing. ","")&amp;IF(AND('Project Register'!J341&lt;&gt;"",'Project Register'!K341=""),"Role 2 missing. ","")&amp;IF(AND('Project Register'!L341&lt;&gt;"",'Project Register'!M341=""),"Role 3 missing. ","")&amp;IF(OR(AND('Project Register'!H341&lt;&gt;"",'Project Register'!H341='Project Register'!J341),AND('Project Register'!H341&lt;&gt;"",'Project Register'!H341='Project Register'!L341),AND('Project Register'!J341&lt;&gt;"",'Project Register'!J341='Project Register'!L341)),"Same person listed twice. ","")&amp;IF(AND('Project Register'!H341&lt;&gt;"",COUNTIF(Resources!$A$2:$A$51,'Project Register'!H341)=0),"Resource 1 not in Resources sheet. ","")&amp;IF(AND('Project Register'!J341&lt;&gt;"",COUNTIF(Resources!$A$2:$A$51,'Project Register'!J341)=0),"Resource 2 not in Resources sheet. ","")&amp;IF(AND('Project Register'!L341&lt;&gt;"",COUNTIF(Resources!$A$2:$A$51,'Project Register'!L341)=0),"Resource 3 not in Resources sheet. ","")&amp;IF('Project Register'!O341="","Test Status missing. ","")&amp;IF(AND(ISNUMBER(E341),E341&gt;1),"This task alone needs over 100% per person. ","")&amp;IF(AND('Project Register'!Q341="Deployed in Live",'Project Register'!R341=""),"Release Date blank (import date will be used). ","")))</f>
        <v/>
      </c>
      <c r="G341" s="17" t="str">
        <f aca="false">IF('Project Register'!$A341="","",IF(F341="","OK","Check"))</f>
        <v/>
      </c>
    </row>
    <row r="342" customFormat="false" ht="15" hidden="false" customHeight="false" outlineLevel="0" collapsed="false">
      <c r="A342" s="15" t="str">
        <f aca="false">IF('Project Register'!$A342="","",ROW('Project Register'!A342))</f>
        <v/>
      </c>
      <c r="B342" s="15" t="str">
        <f aca="false">IF('Project Register'!$A342="","",'Project Register'!B342)</f>
        <v/>
      </c>
      <c r="C342" s="15" t="str">
        <f aca="false">IF('Project Register'!$A342="","",IF(OR('Project Register'!E342="",'Project Register'!F342=""),"",IF('Project Register'!F342&lt;'Project Register'!E342,0,NETWORKDAYS.INTL('Project Register'!E342,'Project Register'!F342,"0000110",Holidays_Leave!$A$3:$A$62))))</f>
        <v/>
      </c>
      <c r="D342" s="15" t="str">
        <f aca="false">IF('Project Register'!$A342="","",('Project Register'!H342&lt;&gt;"")+('Project Register'!J342&lt;&gt;"")+('Project Register'!L342&lt;&gt;""))</f>
        <v/>
      </c>
      <c r="E342" s="16" t="str">
        <f aca="false">IF(OR(C342="",D342="",'Project Register'!G342=""),"",IF(OR(C342=0,D342=0),"",'Project Register'!G342/(C342*D342)))</f>
        <v/>
      </c>
      <c r="F342" s="15" t="str">
        <f aca="false">IF('Project Register'!$A342="","",TRIM(IF(OR('Project Register'!E342="",'Project Register'!F342=""),"Missing date. ","")&amp;IF(AND('Project Register'!E342&lt;&gt;"",'Project Register'!F342&lt;&gt;"",'Project Register'!F342&lt;'Project Register'!E342),"End before start. ","")&amp;IF(NOT(ISNUMBER('Project Register'!G342)),"Effort missing. ","")&amp;IF(D342=0,"No resource. ","")&amp;IF(AND('Project Register'!H342&lt;&gt;"",'Project Register'!I342=""),"Role 1 missing. ","")&amp;IF(AND('Project Register'!J342&lt;&gt;"",'Project Register'!K342=""),"Role 2 missing. ","")&amp;IF(AND('Project Register'!L342&lt;&gt;"",'Project Register'!M342=""),"Role 3 missing. ","")&amp;IF(OR(AND('Project Register'!H342&lt;&gt;"",'Project Register'!H342='Project Register'!J342),AND('Project Register'!H342&lt;&gt;"",'Project Register'!H342='Project Register'!L342),AND('Project Register'!J342&lt;&gt;"",'Project Register'!J342='Project Register'!L342)),"Same person listed twice. ","")&amp;IF(AND('Project Register'!H342&lt;&gt;"",COUNTIF(Resources!$A$2:$A$51,'Project Register'!H342)=0),"Resource 1 not in Resources sheet. ","")&amp;IF(AND('Project Register'!J342&lt;&gt;"",COUNTIF(Resources!$A$2:$A$51,'Project Register'!J342)=0),"Resource 2 not in Resources sheet. ","")&amp;IF(AND('Project Register'!L342&lt;&gt;"",COUNTIF(Resources!$A$2:$A$51,'Project Register'!L342)=0),"Resource 3 not in Resources sheet. ","")&amp;IF('Project Register'!O342="","Test Status missing. ","")&amp;IF(AND(ISNUMBER(E342),E342&gt;1),"This task alone needs over 100% per person. ","")&amp;IF(AND('Project Register'!Q342="Deployed in Live",'Project Register'!R342=""),"Release Date blank (import date will be used). ","")))</f>
        <v/>
      </c>
      <c r="G342" s="17" t="str">
        <f aca="false">IF('Project Register'!$A342="","",IF(F342="","OK","Check"))</f>
        <v/>
      </c>
    </row>
    <row r="343" customFormat="false" ht="15" hidden="false" customHeight="false" outlineLevel="0" collapsed="false">
      <c r="A343" s="15" t="str">
        <f aca="false">IF('Project Register'!$A343="","",ROW('Project Register'!A343))</f>
        <v/>
      </c>
      <c r="B343" s="15" t="str">
        <f aca="false">IF('Project Register'!$A343="","",'Project Register'!B343)</f>
        <v/>
      </c>
      <c r="C343" s="15" t="str">
        <f aca="false">IF('Project Register'!$A343="","",IF(OR('Project Register'!E343="",'Project Register'!F343=""),"",IF('Project Register'!F343&lt;'Project Register'!E343,0,NETWORKDAYS.INTL('Project Register'!E343,'Project Register'!F343,"0000110",Holidays_Leave!$A$3:$A$62))))</f>
        <v/>
      </c>
      <c r="D343" s="15" t="str">
        <f aca="false">IF('Project Register'!$A343="","",('Project Register'!H343&lt;&gt;"")+('Project Register'!J343&lt;&gt;"")+('Project Register'!L343&lt;&gt;""))</f>
        <v/>
      </c>
      <c r="E343" s="16" t="str">
        <f aca="false">IF(OR(C343="",D343="",'Project Register'!G343=""),"",IF(OR(C343=0,D343=0),"",'Project Register'!G343/(C343*D343)))</f>
        <v/>
      </c>
      <c r="F343" s="15" t="str">
        <f aca="false">IF('Project Register'!$A343="","",TRIM(IF(OR('Project Register'!E343="",'Project Register'!F343=""),"Missing date. ","")&amp;IF(AND('Project Register'!E343&lt;&gt;"",'Project Register'!F343&lt;&gt;"",'Project Register'!F343&lt;'Project Register'!E343),"End before start. ","")&amp;IF(NOT(ISNUMBER('Project Register'!G343)),"Effort missing. ","")&amp;IF(D343=0,"No resource. ","")&amp;IF(AND('Project Register'!H343&lt;&gt;"",'Project Register'!I343=""),"Role 1 missing. ","")&amp;IF(AND('Project Register'!J343&lt;&gt;"",'Project Register'!K343=""),"Role 2 missing. ","")&amp;IF(AND('Project Register'!L343&lt;&gt;"",'Project Register'!M343=""),"Role 3 missing. ","")&amp;IF(OR(AND('Project Register'!H343&lt;&gt;"",'Project Register'!H343='Project Register'!J343),AND('Project Register'!H343&lt;&gt;"",'Project Register'!H343='Project Register'!L343),AND('Project Register'!J343&lt;&gt;"",'Project Register'!J343='Project Register'!L343)),"Same person listed twice. ","")&amp;IF(AND('Project Register'!H343&lt;&gt;"",COUNTIF(Resources!$A$2:$A$51,'Project Register'!H343)=0),"Resource 1 not in Resources sheet. ","")&amp;IF(AND('Project Register'!J343&lt;&gt;"",COUNTIF(Resources!$A$2:$A$51,'Project Register'!J343)=0),"Resource 2 not in Resources sheet. ","")&amp;IF(AND('Project Register'!L343&lt;&gt;"",COUNTIF(Resources!$A$2:$A$51,'Project Register'!L343)=0),"Resource 3 not in Resources sheet. ","")&amp;IF('Project Register'!O343="","Test Status missing. ","")&amp;IF(AND(ISNUMBER(E343),E343&gt;1),"This task alone needs over 100% per person. ","")&amp;IF(AND('Project Register'!Q343="Deployed in Live",'Project Register'!R343=""),"Release Date blank (import date will be used). ","")))</f>
        <v/>
      </c>
      <c r="G343" s="17" t="str">
        <f aca="false">IF('Project Register'!$A343="","",IF(F343="","OK","Check"))</f>
        <v/>
      </c>
    </row>
    <row r="344" customFormat="false" ht="15" hidden="false" customHeight="false" outlineLevel="0" collapsed="false">
      <c r="A344" s="15" t="str">
        <f aca="false">IF('Project Register'!$A344="","",ROW('Project Register'!A344))</f>
        <v/>
      </c>
      <c r="B344" s="15" t="str">
        <f aca="false">IF('Project Register'!$A344="","",'Project Register'!B344)</f>
        <v/>
      </c>
      <c r="C344" s="15" t="str">
        <f aca="false">IF('Project Register'!$A344="","",IF(OR('Project Register'!E344="",'Project Register'!F344=""),"",IF('Project Register'!F344&lt;'Project Register'!E344,0,NETWORKDAYS.INTL('Project Register'!E344,'Project Register'!F344,"0000110",Holidays_Leave!$A$3:$A$62))))</f>
        <v/>
      </c>
      <c r="D344" s="15" t="str">
        <f aca="false">IF('Project Register'!$A344="","",('Project Register'!H344&lt;&gt;"")+('Project Register'!J344&lt;&gt;"")+('Project Register'!L344&lt;&gt;""))</f>
        <v/>
      </c>
      <c r="E344" s="16" t="str">
        <f aca="false">IF(OR(C344="",D344="",'Project Register'!G344=""),"",IF(OR(C344=0,D344=0),"",'Project Register'!G344/(C344*D344)))</f>
        <v/>
      </c>
      <c r="F344" s="15" t="str">
        <f aca="false">IF('Project Register'!$A344="","",TRIM(IF(OR('Project Register'!E344="",'Project Register'!F344=""),"Missing date. ","")&amp;IF(AND('Project Register'!E344&lt;&gt;"",'Project Register'!F344&lt;&gt;"",'Project Register'!F344&lt;'Project Register'!E344),"End before start. ","")&amp;IF(NOT(ISNUMBER('Project Register'!G344)),"Effort missing. ","")&amp;IF(D344=0,"No resource. ","")&amp;IF(AND('Project Register'!H344&lt;&gt;"",'Project Register'!I344=""),"Role 1 missing. ","")&amp;IF(AND('Project Register'!J344&lt;&gt;"",'Project Register'!K344=""),"Role 2 missing. ","")&amp;IF(AND('Project Register'!L344&lt;&gt;"",'Project Register'!M344=""),"Role 3 missing. ","")&amp;IF(OR(AND('Project Register'!H344&lt;&gt;"",'Project Register'!H344='Project Register'!J344),AND('Project Register'!H344&lt;&gt;"",'Project Register'!H344='Project Register'!L344),AND('Project Register'!J344&lt;&gt;"",'Project Register'!J344='Project Register'!L344)),"Same person listed twice. ","")&amp;IF(AND('Project Register'!H344&lt;&gt;"",COUNTIF(Resources!$A$2:$A$51,'Project Register'!H344)=0),"Resource 1 not in Resources sheet. ","")&amp;IF(AND('Project Register'!J344&lt;&gt;"",COUNTIF(Resources!$A$2:$A$51,'Project Register'!J344)=0),"Resource 2 not in Resources sheet. ","")&amp;IF(AND('Project Register'!L344&lt;&gt;"",COUNTIF(Resources!$A$2:$A$51,'Project Register'!L344)=0),"Resource 3 not in Resources sheet. ","")&amp;IF('Project Register'!O344="","Test Status missing. ","")&amp;IF(AND(ISNUMBER(E344),E344&gt;1),"This task alone needs over 100% per person. ","")&amp;IF(AND('Project Register'!Q344="Deployed in Live",'Project Register'!R344=""),"Release Date blank (import date will be used). ","")))</f>
        <v/>
      </c>
      <c r="G344" s="17" t="str">
        <f aca="false">IF('Project Register'!$A344="","",IF(F344="","OK","Check"))</f>
        <v/>
      </c>
    </row>
    <row r="345" customFormat="false" ht="15" hidden="false" customHeight="false" outlineLevel="0" collapsed="false">
      <c r="A345" s="15" t="str">
        <f aca="false">IF('Project Register'!$A345="","",ROW('Project Register'!A345))</f>
        <v/>
      </c>
      <c r="B345" s="15" t="str">
        <f aca="false">IF('Project Register'!$A345="","",'Project Register'!B345)</f>
        <v/>
      </c>
      <c r="C345" s="15" t="str">
        <f aca="false">IF('Project Register'!$A345="","",IF(OR('Project Register'!E345="",'Project Register'!F345=""),"",IF('Project Register'!F345&lt;'Project Register'!E345,0,NETWORKDAYS.INTL('Project Register'!E345,'Project Register'!F345,"0000110",Holidays_Leave!$A$3:$A$62))))</f>
        <v/>
      </c>
      <c r="D345" s="15" t="str">
        <f aca="false">IF('Project Register'!$A345="","",('Project Register'!H345&lt;&gt;"")+('Project Register'!J345&lt;&gt;"")+('Project Register'!L345&lt;&gt;""))</f>
        <v/>
      </c>
      <c r="E345" s="16" t="str">
        <f aca="false">IF(OR(C345="",D345="",'Project Register'!G345=""),"",IF(OR(C345=0,D345=0),"",'Project Register'!G345/(C345*D345)))</f>
        <v/>
      </c>
      <c r="F345" s="15" t="str">
        <f aca="false">IF('Project Register'!$A345="","",TRIM(IF(OR('Project Register'!E345="",'Project Register'!F345=""),"Missing date. ","")&amp;IF(AND('Project Register'!E345&lt;&gt;"",'Project Register'!F345&lt;&gt;"",'Project Register'!F345&lt;'Project Register'!E345),"End before start. ","")&amp;IF(NOT(ISNUMBER('Project Register'!G345)),"Effort missing. ","")&amp;IF(D345=0,"No resource. ","")&amp;IF(AND('Project Register'!H345&lt;&gt;"",'Project Register'!I345=""),"Role 1 missing. ","")&amp;IF(AND('Project Register'!J345&lt;&gt;"",'Project Register'!K345=""),"Role 2 missing. ","")&amp;IF(AND('Project Register'!L345&lt;&gt;"",'Project Register'!M345=""),"Role 3 missing. ","")&amp;IF(OR(AND('Project Register'!H345&lt;&gt;"",'Project Register'!H345='Project Register'!J345),AND('Project Register'!H345&lt;&gt;"",'Project Register'!H345='Project Register'!L345),AND('Project Register'!J345&lt;&gt;"",'Project Register'!J345='Project Register'!L345)),"Same person listed twice. ","")&amp;IF(AND('Project Register'!H345&lt;&gt;"",COUNTIF(Resources!$A$2:$A$51,'Project Register'!H345)=0),"Resource 1 not in Resources sheet. ","")&amp;IF(AND('Project Register'!J345&lt;&gt;"",COUNTIF(Resources!$A$2:$A$51,'Project Register'!J345)=0),"Resource 2 not in Resources sheet. ","")&amp;IF(AND('Project Register'!L345&lt;&gt;"",COUNTIF(Resources!$A$2:$A$51,'Project Register'!L345)=0),"Resource 3 not in Resources sheet. ","")&amp;IF('Project Register'!O345="","Test Status missing. ","")&amp;IF(AND(ISNUMBER(E345),E345&gt;1),"This task alone needs over 100% per person. ","")&amp;IF(AND('Project Register'!Q345="Deployed in Live",'Project Register'!R345=""),"Release Date blank (import date will be used). ","")))</f>
        <v/>
      </c>
      <c r="G345" s="17" t="str">
        <f aca="false">IF('Project Register'!$A345="","",IF(F345="","OK","Check"))</f>
        <v/>
      </c>
    </row>
    <row r="346" customFormat="false" ht="15" hidden="false" customHeight="false" outlineLevel="0" collapsed="false">
      <c r="A346" s="15" t="str">
        <f aca="false">IF('Project Register'!$A346="","",ROW('Project Register'!A346))</f>
        <v/>
      </c>
      <c r="B346" s="15" t="str">
        <f aca="false">IF('Project Register'!$A346="","",'Project Register'!B346)</f>
        <v/>
      </c>
      <c r="C346" s="15" t="str">
        <f aca="false">IF('Project Register'!$A346="","",IF(OR('Project Register'!E346="",'Project Register'!F346=""),"",IF('Project Register'!F346&lt;'Project Register'!E346,0,NETWORKDAYS.INTL('Project Register'!E346,'Project Register'!F346,"0000110",Holidays_Leave!$A$3:$A$62))))</f>
        <v/>
      </c>
      <c r="D346" s="15" t="str">
        <f aca="false">IF('Project Register'!$A346="","",('Project Register'!H346&lt;&gt;"")+('Project Register'!J346&lt;&gt;"")+('Project Register'!L346&lt;&gt;""))</f>
        <v/>
      </c>
      <c r="E346" s="16" t="str">
        <f aca="false">IF(OR(C346="",D346="",'Project Register'!G346=""),"",IF(OR(C346=0,D346=0),"",'Project Register'!G346/(C346*D346)))</f>
        <v/>
      </c>
      <c r="F346" s="15" t="str">
        <f aca="false">IF('Project Register'!$A346="","",TRIM(IF(OR('Project Register'!E346="",'Project Register'!F346=""),"Missing date. ","")&amp;IF(AND('Project Register'!E346&lt;&gt;"",'Project Register'!F346&lt;&gt;"",'Project Register'!F346&lt;'Project Register'!E346),"End before start. ","")&amp;IF(NOT(ISNUMBER('Project Register'!G346)),"Effort missing. ","")&amp;IF(D346=0,"No resource. ","")&amp;IF(AND('Project Register'!H346&lt;&gt;"",'Project Register'!I346=""),"Role 1 missing. ","")&amp;IF(AND('Project Register'!J346&lt;&gt;"",'Project Register'!K346=""),"Role 2 missing. ","")&amp;IF(AND('Project Register'!L346&lt;&gt;"",'Project Register'!M346=""),"Role 3 missing. ","")&amp;IF(OR(AND('Project Register'!H346&lt;&gt;"",'Project Register'!H346='Project Register'!J346),AND('Project Register'!H346&lt;&gt;"",'Project Register'!H346='Project Register'!L346),AND('Project Register'!J346&lt;&gt;"",'Project Register'!J346='Project Register'!L346)),"Same person listed twice. ","")&amp;IF(AND('Project Register'!H346&lt;&gt;"",COUNTIF(Resources!$A$2:$A$51,'Project Register'!H346)=0),"Resource 1 not in Resources sheet. ","")&amp;IF(AND('Project Register'!J346&lt;&gt;"",COUNTIF(Resources!$A$2:$A$51,'Project Register'!J346)=0),"Resource 2 not in Resources sheet. ","")&amp;IF(AND('Project Register'!L346&lt;&gt;"",COUNTIF(Resources!$A$2:$A$51,'Project Register'!L346)=0),"Resource 3 not in Resources sheet. ","")&amp;IF('Project Register'!O346="","Test Status missing. ","")&amp;IF(AND(ISNUMBER(E346),E346&gt;1),"This task alone needs over 100% per person. ","")&amp;IF(AND('Project Register'!Q346="Deployed in Live",'Project Register'!R346=""),"Release Date blank (import date will be used). ","")))</f>
        <v/>
      </c>
      <c r="G346" s="17" t="str">
        <f aca="false">IF('Project Register'!$A346="","",IF(F346="","OK","Check"))</f>
        <v/>
      </c>
    </row>
    <row r="347" customFormat="false" ht="15" hidden="false" customHeight="false" outlineLevel="0" collapsed="false">
      <c r="A347" s="15" t="str">
        <f aca="false">IF('Project Register'!$A347="","",ROW('Project Register'!A347))</f>
        <v/>
      </c>
      <c r="B347" s="15" t="str">
        <f aca="false">IF('Project Register'!$A347="","",'Project Register'!B347)</f>
        <v/>
      </c>
      <c r="C347" s="15" t="str">
        <f aca="false">IF('Project Register'!$A347="","",IF(OR('Project Register'!E347="",'Project Register'!F347=""),"",IF('Project Register'!F347&lt;'Project Register'!E347,0,NETWORKDAYS.INTL('Project Register'!E347,'Project Register'!F347,"0000110",Holidays_Leave!$A$3:$A$62))))</f>
        <v/>
      </c>
      <c r="D347" s="15" t="str">
        <f aca="false">IF('Project Register'!$A347="","",('Project Register'!H347&lt;&gt;"")+('Project Register'!J347&lt;&gt;"")+('Project Register'!L347&lt;&gt;""))</f>
        <v/>
      </c>
      <c r="E347" s="16" t="str">
        <f aca="false">IF(OR(C347="",D347="",'Project Register'!G347=""),"",IF(OR(C347=0,D347=0),"",'Project Register'!G347/(C347*D347)))</f>
        <v/>
      </c>
      <c r="F347" s="15" t="str">
        <f aca="false">IF('Project Register'!$A347="","",TRIM(IF(OR('Project Register'!E347="",'Project Register'!F347=""),"Missing date. ","")&amp;IF(AND('Project Register'!E347&lt;&gt;"",'Project Register'!F347&lt;&gt;"",'Project Register'!F347&lt;'Project Register'!E347),"End before start. ","")&amp;IF(NOT(ISNUMBER('Project Register'!G347)),"Effort missing. ","")&amp;IF(D347=0,"No resource. ","")&amp;IF(AND('Project Register'!H347&lt;&gt;"",'Project Register'!I347=""),"Role 1 missing. ","")&amp;IF(AND('Project Register'!J347&lt;&gt;"",'Project Register'!K347=""),"Role 2 missing. ","")&amp;IF(AND('Project Register'!L347&lt;&gt;"",'Project Register'!M347=""),"Role 3 missing. ","")&amp;IF(OR(AND('Project Register'!H347&lt;&gt;"",'Project Register'!H347='Project Register'!J347),AND('Project Register'!H347&lt;&gt;"",'Project Register'!H347='Project Register'!L347),AND('Project Register'!J347&lt;&gt;"",'Project Register'!J347='Project Register'!L347)),"Same person listed twice. ","")&amp;IF(AND('Project Register'!H347&lt;&gt;"",COUNTIF(Resources!$A$2:$A$51,'Project Register'!H347)=0),"Resource 1 not in Resources sheet. ","")&amp;IF(AND('Project Register'!J347&lt;&gt;"",COUNTIF(Resources!$A$2:$A$51,'Project Register'!J347)=0),"Resource 2 not in Resources sheet. ","")&amp;IF(AND('Project Register'!L347&lt;&gt;"",COUNTIF(Resources!$A$2:$A$51,'Project Register'!L347)=0),"Resource 3 not in Resources sheet. ","")&amp;IF('Project Register'!O347="","Test Status missing. ","")&amp;IF(AND(ISNUMBER(E347),E347&gt;1),"This task alone needs over 100% per person. ","")&amp;IF(AND('Project Register'!Q347="Deployed in Live",'Project Register'!R347=""),"Release Date blank (import date will be used). ","")))</f>
        <v/>
      </c>
      <c r="G347" s="17" t="str">
        <f aca="false">IF('Project Register'!$A347="","",IF(F347="","OK","Check"))</f>
        <v/>
      </c>
    </row>
    <row r="348" customFormat="false" ht="15" hidden="false" customHeight="false" outlineLevel="0" collapsed="false">
      <c r="A348" s="15" t="str">
        <f aca="false">IF('Project Register'!$A348="","",ROW('Project Register'!A348))</f>
        <v/>
      </c>
      <c r="B348" s="15" t="str">
        <f aca="false">IF('Project Register'!$A348="","",'Project Register'!B348)</f>
        <v/>
      </c>
      <c r="C348" s="15" t="str">
        <f aca="false">IF('Project Register'!$A348="","",IF(OR('Project Register'!E348="",'Project Register'!F348=""),"",IF('Project Register'!F348&lt;'Project Register'!E348,0,NETWORKDAYS.INTL('Project Register'!E348,'Project Register'!F348,"0000110",Holidays_Leave!$A$3:$A$62))))</f>
        <v/>
      </c>
      <c r="D348" s="15" t="str">
        <f aca="false">IF('Project Register'!$A348="","",('Project Register'!H348&lt;&gt;"")+('Project Register'!J348&lt;&gt;"")+('Project Register'!L348&lt;&gt;""))</f>
        <v/>
      </c>
      <c r="E348" s="16" t="str">
        <f aca="false">IF(OR(C348="",D348="",'Project Register'!G348=""),"",IF(OR(C348=0,D348=0),"",'Project Register'!G348/(C348*D348)))</f>
        <v/>
      </c>
      <c r="F348" s="15" t="str">
        <f aca="false">IF('Project Register'!$A348="","",TRIM(IF(OR('Project Register'!E348="",'Project Register'!F348=""),"Missing date. ","")&amp;IF(AND('Project Register'!E348&lt;&gt;"",'Project Register'!F348&lt;&gt;"",'Project Register'!F348&lt;'Project Register'!E348),"End before start. ","")&amp;IF(NOT(ISNUMBER('Project Register'!G348)),"Effort missing. ","")&amp;IF(D348=0,"No resource. ","")&amp;IF(AND('Project Register'!H348&lt;&gt;"",'Project Register'!I348=""),"Role 1 missing. ","")&amp;IF(AND('Project Register'!J348&lt;&gt;"",'Project Register'!K348=""),"Role 2 missing. ","")&amp;IF(AND('Project Register'!L348&lt;&gt;"",'Project Register'!M348=""),"Role 3 missing. ","")&amp;IF(OR(AND('Project Register'!H348&lt;&gt;"",'Project Register'!H348='Project Register'!J348),AND('Project Register'!H348&lt;&gt;"",'Project Register'!H348='Project Register'!L348),AND('Project Register'!J348&lt;&gt;"",'Project Register'!J348='Project Register'!L348)),"Same person listed twice. ","")&amp;IF(AND('Project Register'!H348&lt;&gt;"",COUNTIF(Resources!$A$2:$A$51,'Project Register'!H348)=0),"Resource 1 not in Resources sheet. ","")&amp;IF(AND('Project Register'!J348&lt;&gt;"",COUNTIF(Resources!$A$2:$A$51,'Project Register'!J348)=0),"Resource 2 not in Resources sheet. ","")&amp;IF(AND('Project Register'!L348&lt;&gt;"",COUNTIF(Resources!$A$2:$A$51,'Project Register'!L348)=0),"Resource 3 not in Resources sheet. ","")&amp;IF('Project Register'!O348="","Test Status missing. ","")&amp;IF(AND(ISNUMBER(E348),E348&gt;1),"This task alone needs over 100% per person. ","")&amp;IF(AND('Project Register'!Q348="Deployed in Live",'Project Register'!R348=""),"Release Date blank (import date will be used). ","")))</f>
        <v/>
      </c>
      <c r="G348" s="17" t="str">
        <f aca="false">IF('Project Register'!$A348="","",IF(F348="","OK","Check"))</f>
        <v/>
      </c>
    </row>
    <row r="349" customFormat="false" ht="15" hidden="false" customHeight="false" outlineLevel="0" collapsed="false">
      <c r="A349" s="15" t="str">
        <f aca="false">IF('Project Register'!$A349="","",ROW('Project Register'!A349))</f>
        <v/>
      </c>
      <c r="B349" s="15" t="str">
        <f aca="false">IF('Project Register'!$A349="","",'Project Register'!B349)</f>
        <v/>
      </c>
      <c r="C349" s="15" t="str">
        <f aca="false">IF('Project Register'!$A349="","",IF(OR('Project Register'!E349="",'Project Register'!F349=""),"",IF('Project Register'!F349&lt;'Project Register'!E349,0,NETWORKDAYS.INTL('Project Register'!E349,'Project Register'!F349,"0000110",Holidays_Leave!$A$3:$A$62))))</f>
        <v/>
      </c>
      <c r="D349" s="15" t="str">
        <f aca="false">IF('Project Register'!$A349="","",('Project Register'!H349&lt;&gt;"")+('Project Register'!J349&lt;&gt;"")+('Project Register'!L349&lt;&gt;""))</f>
        <v/>
      </c>
      <c r="E349" s="16" t="str">
        <f aca="false">IF(OR(C349="",D349="",'Project Register'!G349=""),"",IF(OR(C349=0,D349=0),"",'Project Register'!G349/(C349*D349)))</f>
        <v/>
      </c>
      <c r="F349" s="15" t="str">
        <f aca="false">IF('Project Register'!$A349="","",TRIM(IF(OR('Project Register'!E349="",'Project Register'!F349=""),"Missing date. ","")&amp;IF(AND('Project Register'!E349&lt;&gt;"",'Project Register'!F349&lt;&gt;"",'Project Register'!F349&lt;'Project Register'!E349),"End before start. ","")&amp;IF(NOT(ISNUMBER('Project Register'!G349)),"Effort missing. ","")&amp;IF(D349=0,"No resource. ","")&amp;IF(AND('Project Register'!H349&lt;&gt;"",'Project Register'!I349=""),"Role 1 missing. ","")&amp;IF(AND('Project Register'!J349&lt;&gt;"",'Project Register'!K349=""),"Role 2 missing. ","")&amp;IF(AND('Project Register'!L349&lt;&gt;"",'Project Register'!M349=""),"Role 3 missing. ","")&amp;IF(OR(AND('Project Register'!H349&lt;&gt;"",'Project Register'!H349='Project Register'!J349),AND('Project Register'!H349&lt;&gt;"",'Project Register'!H349='Project Register'!L349),AND('Project Register'!J349&lt;&gt;"",'Project Register'!J349='Project Register'!L349)),"Same person listed twice. ","")&amp;IF(AND('Project Register'!H349&lt;&gt;"",COUNTIF(Resources!$A$2:$A$51,'Project Register'!H349)=0),"Resource 1 not in Resources sheet. ","")&amp;IF(AND('Project Register'!J349&lt;&gt;"",COUNTIF(Resources!$A$2:$A$51,'Project Register'!J349)=0),"Resource 2 not in Resources sheet. ","")&amp;IF(AND('Project Register'!L349&lt;&gt;"",COUNTIF(Resources!$A$2:$A$51,'Project Register'!L349)=0),"Resource 3 not in Resources sheet. ","")&amp;IF('Project Register'!O349="","Test Status missing. ","")&amp;IF(AND(ISNUMBER(E349),E349&gt;1),"This task alone needs over 100% per person. ","")&amp;IF(AND('Project Register'!Q349="Deployed in Live",'Project Register'!R349=""),"Release Date blank (import date will be used). ","")))</f>
        <v/>
      </c>
      <c r="G349" s="17" t="str">
        <f aca="false">IF('Project Register'!$A349="","",IF(F349="","OK","Check"))</f>
        <v/>
      </c>
    </row>
    <row r="350" customFormat="false" ht="15" hidden="false" customHeight="false" outlineLevel="0" collapsed="false">
      <c r="A350" s="15" t="str">
        <f aca="false">IF('Project Register'!$A350="","",ROW('Project Register'!A350))</f>
        <v/>
      </c>
      <c r="B350" s="15" t="str">
        <f aca="false">IF('Project Register'!$A350="","",'Project Register'!B350)</f>
        <v/>
      </c>
      <c r="C350" s="15" t="str">
        <f aca="false">IF('Project Register'!$A350="","",IF(OR('Project Register'!E350="",'Project Register'!F350=""),"",IF('Project Register'!F350&lt;'Project Register'!E350,0,NETWORKDAYS.INTL('Project Register'!E350,'Project Register'!F350,"0000110",Holidays_Leave!$A$3:$A$62))))</f>
        <v/>
      </c>
      <c r="D350" s="15" t="str">
        <f aca="false">IF('Project Register'!$A350="","",('Project Register'!H350&lt;&gt;"")+('Project Register'!J350&lt;&gt;"")+('Project Register'!L350&lt;&gt;""))</f>
        <v/>
      </c>
      <c r="E350" s="16" t="str">
        <f aca="false">IF(OR(C350="",D350="",'Project Register'!G350=""),"",IF(OR(C350=0,D350=0),"",'Project Register'!G350/(C350*D350)))</f>
        <v/>
      </c>
      <c r="F350" s="15" t="str">
        <f aca="false">IF('Project Register'!$A350="","",TRIM(IF(OR('Project Register'!E350="",'Project Register'!F350=""),"Missing date. ","")&amp;IF(AND('Project Register'!E350&lt;&gt;"",'Project Register'!F350&lt;&gt;"",'Project Register'!F350&lt;'Project Register'!E350),"End before start. ","")&amp;IF(NOT(ISNUMBER('Project Register'!G350)),"Effort missing. ","")&amp;IF(D350=0,"No resource. ","")&amp;IF(AND('Project Register'!H350&lt;&gt;"",'Project Register'!I350=""),"Role 1 missing. ","")&amp;IF(AND('Project Register'!J350&lt;&gt;"",'Project Register'!K350=""),"Role 2 missing. ","")&amp;IF(AND('Project Register'!L350&lt;&gt;"",'Project Register'!M350=""),"Role 3 missing. ","")&amp;IF(OR(AND('Project Register'!H350&lt;&gt;"",'Project Register'!H350='Project Register'!J350),AND('Project Register'!H350&lt;&gt;"",'Project Register'!H350='Project Register'!L350),AND('Project Register'!J350&lt;&gt;"",'Project Register'!J350='Project Register'!L350)),"Same person listed twice. ","")&amp;IF(AND('Project Register'!H350&lt;&gt;"",COUNTIF(Resources!$A$2:$A$51,'Project Register'!H350)=0),"Resource 1 not in Resources sheet. ","")&amp;IF(AND('Project Register'!J350&lt;&gt;"",COUNTIF(Resources!$A$2:$A$51,'Project Register'!J350)=0),"Resource 2 not in Resources sheet. ","")&amp;IF(AND('Project Register'!L350&lt;&gt;"",COUNTIF(Resources!$A$2:$A$51,'Project Register'!L350)=0),"Resource 3 not in Resources sheet. ","")&amp;IF('Project Register'!O350="","Test Status missing. ","")&amp;IF(AND(ISNUMBER(E350),E350&gt;1),"This task alone needs over 100% per person. ","")&amp;IF(AND('Project Register'!Q350="Deployed in Live",'Project Register'!R350=""),"Release Date blank (import date will be used). ","")))</f>
        <v/>
      </c>
      <c r="G350" s="17" t="str">
        <f aca="false">IF('Project Register'!$A350="","",IF(F350="","OK","Check"))</f>
        <v/>
      </c>
    </row>
    <row r="351" customFormat="false" ht="15" hidden="false" customHeight="false" outlineLevel="0" collapsed="false">
      <c r="A351" s="15" t="str">
        <f aca="false">IF('Project Register'!$A351="","",ROW('Project Register'!A351))</f>
        <v/>
      </c>
      <c r="B351" s="15" t="str">
        <f aca="false">IF('Project Register'!$A351="","",'Project Register'!B351)</f>
        <v/>
      </c>
      <c r="C351" s="15" t="str">
        <f aca="false">IF('Project Register'!$A351="","",IF(OR('Project Register'!E351="",'Project Register'!F351=""),"",IF('Project Register'!F351&lt;'Project Register'!E351,0,NETWORKDAYS.INTL('Project Register'!E351,'Project Register'!F351,"0000110",Holidays_Leave!$A$3:$A$62))))</f>
        <v/>
      </c>
      <c r="D351" s="15" t="str">
        <f aca="false">IF('Project Register'!$A351="","",('Project Register'!H351&lt;&gt;"")+('Project Register'!J351&lt;&gt;"")+('Project Register'!L351&lt;&gt;""))</f>
        <v/>
      </c>
      <c r="E351" s="16" t="str">
        <f aca="false">IF(OR(C351="",D351="",'Project Register'!G351=""),"",IF(OR(C351=0,D351=0),"",'Project Register'!G351/(C351*D351)))</f>
        <v/>
      </c>
      <c r="F351" s="15" t="str">
        <f aca="false">IF('Project Register'!$A351="","",TRIM(IF(OR('Project Register'!E351="",'Project Register'!F351=""),"Missing date. ","")&amp;IF(AND('Project Register'!E351&lt;&gt;"",'Project Register'!F351&lt;&gt;"",'Project Register'!F351&lt;'Project Register'!E351),"End before start. ","")&amp;IF(NOT(ISNUMBER('Project Register'!G351)),"Effort missing. ","")&amp;IF(D351=0,"No resource. ","")&amp;IF(AND('Project Register'!H351&lt;&gt;"",'Project Register'!I351=""),"Role 1 missing. ","")&amp;IF(AND('Project Register'!J351&lt;&gt;"",'Project Register'!K351=""),"Role 2 missing. ","")&amp;IF(AND('Project Register'!L351&lt;&gt;"",'Project Register'!M351=""),"Role 3 missing. ","")&amp;IF(OR(AND('Project Register'!H351&lt;&gt;"",'Project Register'!H351='Project Register'!J351),AND('Project Register'!H351&lt;&gt;"",'Project Register'!H351='Project Register'!L351),AND('Project Register'!J351&lt;&gt;"",'Project Register'!J351='Project Register'!L351)),"Same person listed twice. ","")&amp;IF(AND('Project Register'!H351&lt;&gt;"",COUNTIF(Resources!$A$2:$A$51,'Project Register'!H351)=0),"Resource 1 not in Resources sheet. ","")&amp;IF(AND('Project Register'!J351&lt;&gt;"",COUNTIF(Resources!$A$2:$A$51,'Project Register'!J351)=0),"Resource 2 not in Resources sheet. ","")&amp;IF(AND('Project Register'!L351&lt;&gt;"",COUNTIF(Resources!$A$2:$A$51,'Project Register'!L351)=0),"Resource 3 not in Resources sheet. ","")&amp;IF('Project Register'!O351="","Test Status missing. ","")&amp;IF(AND(ISNUMBER(E351),E351&gt;1),"This task alone needs over 100% per person. ","")&amp;IF(AND('Project Register'!Q351="Deployed in Live",'Project Register'!R351=""),"Release Date blank (import date will be used). ","")))</f>
        <v/>
      </c>
      <c r="G351" s="17" t="str">
        <f aca="false">IF('Project Register'!$A351="","",IF(F351="","OK","Check"))</f>
        <v/>
      </c>
    </row>
    <row r="352" customFormat="false" ht="15" hidden="false" customHeight="false" outlineLevel="0" collapsed="false">
      <c r="A352" s="15" t="str">
        <f aca="false">IF('Project Register'!$A352="","",ROW('Project Register'!A352))</f>
        <v/>
      </c>
      <c r="B352" s="15" t="str">
        <f aca="false">IF('Project Register'!$A352="","",'Project Register'!B352)</f>
        <v/>
      </c>
      <c r="C352" s="15" t="str">
        <f aca="false">IF('Project Register'!$A352="","",IF(OR('Project Register'!E352="",'Project Register'!F352=""),"",IF('Project Register'!F352&lt;'Project Register'!E352,0,NETWORKDAYS.INTL('Project Register'!E352,'Project Register'!F352,"0000110",Holidays_Leave!$A$3:$A$62))))</f>
        <v/>
      </c>
      <c r="D352" s="15" t="str">
        <f aca="false">IF('Project Register'!$A352="","",('Project Register'!H352&lt;&gt;"")+('Project Register'!J352&lt;&gt;"")+('Project Register'!L352&lt;&gt;""))</f>
        <v/>
      </c>
      <c r="E352" s="16" t="str">
        <f aca="false">IF(OR(C352="",D352="",'Project Register'!G352=""),"",IF(OR(C352=0,D352=0),"",'Project Register'!G352/(C352*D352)))</f>
        <v/>
      </c>
      <c r="F352" s="15" t="str">
        <f aca="false">IF('Project Register'!$A352="","",TRIM(IF(OR('Project Register'!E352="",'Project Register'!F352=""),"Missing date. ","")&amp;IF(AND('Project Register'!E352&lt;&gt;"",'Project Register'!F352&lt;&gt;"",'Project Register'!F352&lt;'Project Register'!E352),"End before start. ","")&amp;IF(NOT(ISNUMBER('Project Register'!G352)),"Effort missing. ","")&amp;IF(D352=0,"No resource. ","")&amp;IF(AND('Project Register'!H352&lt;&gt;"",'Project Register'!I352=""),"Role 1 missing. ","")&amp;IF(AND('Project Register'!J352&lt;&gt;"",'Project Register'!K352=""),"Role 2 missing. ","")&amp;IF(AND('Project Register'!L352&lt;&gt;"",'Project Register'!M352=""),"Role 3 missing. ","")&amp;IF(OR(AND('Project Register'!H352&lt;&gt;"",'Project Register'!H352='Project Register'!J352),AND('Project Register'!H352&lt;&gt;"",'Project Register'!H352='Project Register'!L352),AND('Project Register'!J352&lt;&gt;"",'Project Register'!J352='Project Register'!L352)),"Same person listed twice. ","")&amp;IF(AND('Project Register'!H352&lt;&gt;"",COUNTIF(Resources!$A$2:$A$51,'Project Register'!H352)=0),"Resource 1 not in Resources sheet. ","")&amp;IF(AND('Project Register'!J352&lt;&gt;"",COUNTIF(Resources!$A$2:$A$51,'Project Register'!J352)=0),"Resource 2 not in Resources sheet. ","")&amp;IF(AND('Project Register'!L352&lt;&gt;"",COUNTIF(Resources!$A$2:$A$51,'Project Register'!L352)=0),"Resource 3 not in Resources sheet. ","")&amp;IF('Project Register'!O352="","Test Status missing. ","")&amp;IF(AND(ISNUMBER(E352),E352&gt;1),"This task alone needs over 100% per person. ","")&amp;IF(AND('Project Register'!Q352="Deployed in Live",'Project Register'!R352=""),"Release Date blank (import date will be used). ","")))</f>
        <v/>
      </c>
      <c r="G352" s="17" t="str">
        <f aca="false">IF('Project Register'!$A352="","",IF(F352="","OK","Check"))</f>
        <v/>
      </c>
    </row>
    <row r="353" customFormat="false" ht="15" hidden="false" customHeight="false" outlineLevel="0" collapsed="false">
      <c r="A353" s="15" t="str">
        <f aca="false">IF('Project Register'!$A353="","",ROW('Project Register'!A353))</f>
        <v/>
      </c>
      <c r="B353" s="15" t="str">
        <f aca="false">IF('Project Register'!$A353="","",'Project Register'!B353)</f>
        <v/>
      </c>
      <c r="C353" s="15" t="str">
        <f aca="false">IF('Project Register'!$A353="","",IF(OR('Project Register'!E353="",'Project Register'!F353=""),"",IF('Project Register'!F353&lt;'Project Register'!E353,0,NETWORKDAYS.INTL('Project Register'!E353,'Project Register'!F353,"0000110",Holidays_Leave!$A$3:$A$62))))</f>
        <v/>
      </c>
      <c r="D353" s="15" t="str">
        <f aca="false">IF('Project Register'!$A353="","",('Project Register'!H353&lt;&gt;"")+('Project Register'!J353&lt;&gt;"")+('Project Register'!L353&lt;&gt;""))</f>
        <v/>
      </c>
      <c r="E353" s="16" t="str">
        <f aca="false">IF(OR(C353="",D353="",'Project Register'!G353=""),"",IF(OR(C353=0,D353=0),"",'Project Register'!G353/(C353*D353)))</f>
        <v/>
      </c>
      <c r="F353" s="15" t="str">
        <f aca="false">IF('Project Register'!$A353="","",TRIM(IF(OR('Project Register'!E353="",'Project Register'!F353=""),"Missing date. ","")&amp;IF(AND('Project Register'!E353&lt;&gt;"",'Project Register'!F353&lt;&gt;"",'Project Register'!F353&lt;'Project Register'!E353),"End before start. ","")&amp;IF(NOT(ISNUMBER('Project Register'!G353)),"Effort missing. ","")&amp;IF(D353=0,"No resource. ","")&amp;IF(AND('Project Register'!H353&lt;&gt;"",'Project Register'!I353=""),"Role 1 missing. ","")&amp;IF(AND('Project Register'!J353&lt;&gt;"",'Project Register'!K353=""),"Role 2 missing. ","")&amp;IF(AND('Project Register'!L353&lt;&gt;"",'Project Register'!M353=""),"Role 3 missing. ","")&amp;IF(OR(AND('Project Register'!H353&lt;&gt;"",'Project Register'!H353='Project Register'!J353),AND('Project Register'!H353&lt;&gt;"",'Project Register'!H353='Project Register'!L353),AND('Project Register'!J353&lt;&gt;"",'Project Register'!J353='Project Register'!L353)),"Same person listed twice. ","")&amp;IF(AND('Project Register'!H353&lt;&gt;"",COUNTIF(Resources!$A$2:$A$51,'Project Register'!H353)=0),"Resource 1 not in Resources sheet. ","")&amp;IF(AND('Project Register'!J353&lt;&gt;"",COUNTIF(Resources!$A$2:$A$51,'Project Register'!J353)=0),"Resource 2 not in Resources sheet. ","")&amp;IF(AND('Project Register'!L353&lt;&gt;"",COUNTIF(Resources!$A$2:$A$51,'Project Register'!L353)=0),"Resource 3 not in Resources sheet. ","")&amp;IF('Project Register'!O353="","Test Status missing. ","")&amp;IF(AND(ISNUMBER(E353),E353&gt;1),"This task alone needs over 100% per person. ","")&amp;IF(AND('Project Register'!Q353="Deployed in Live",'Project Register'!R353=""),"Release Date blank (import date will be used). ","")))</f>
        <v/>
      </c>
      <c r="G353" s="17" t="str">
        <f aca="false">IF('Project Register'!$A353="","",IF(F353="","OK","Check"))</f>
        <v/>
      </c>
    </row>
    <row r="354" customFormat="false" ht="15" hidden="false" customHeight="false" outlineLevel="0" collapsed="false">
      <c r="A354" s="15" t="str">
        <f aca="false">IF('Project Register'!$A354="","",ROW('Project Register'!A354))</f>
        <v/>
      </c>
      <c r="B354" s="15" t="str">
        <f aca="false">IF('Project Register'!$A354="","",'Project Register'!B354)</f>
        <v/>
      </c>
      <c r="C354" s="15" t="str">
        <f aca="false">IF('Project Register'!$A354="","",IF(OR('Project Register'!E354="",'Project Register'!F354=""),"",IF('Project Register'!F354&lt;'Project Register'!E354,0,NETWORKDAYS.INTL('Project Register'!E354,'Project Register'!F354,"0000110",Holidays_Leave!$A$3:$A$62))))</f>
        <v/>
      </c>
      <c r="D354" s="15" t="str">
        <f aca="false">IF('Project Register'!$A354="","",('Project Register'!H354&lt;&gt;"")+('Project Register'!J354&lt;&gt;"")+('Project Register'!L354&lt;&gt;""))</f>
        <v/>
      </c>
      <c r="E354" s="16" t="str">
        <f aca="false">IF(OR(C354="",D354="",'Project Register'!G354=""),"",IF(OR(C354=0,D354=0),"",'Project Register'!G354/(C354*D354)))</f>
        <v/>
      </c>
      <c r="F354" s="15" t="str">
        <f aca="false">IF('Project Register'!$A354="","",TRIM(IF(OR('Project Register'!E354="",'Project Register'!F354=""),"Missing date. ","")&amp;IF(AND('Project Register'!E354&lt;&gt;"",'Project Register'!F354&lt;&gt;"",'Project Register'!F354&lt;'Project Register'!E354),"End before start. ","")&amp;IF(NOT(ISNUMBER('Project Register'!G354)),"Effort missing. ","")&amp;IF(D354=0,"No resource. ","")&amp;IF(AND('Project Register'!H354&lt;&gt;"",'Project Register'!I354=""),"Role 1 missing. ","")&amp;IF(AND('Project Register'!J354&lt;&gt;"",'Project Register'!K354=""),"Role 2 missing. ","")&amp;IF(AND('Project Register'!L354&lt;&gt;"",'Project Register'!M354=""),"Role 3 missing. ","")&amp;IF(OR(AND('Project Register'!H354&lt;&gt;"",'Project Register'!H354='Project Register'!J354),AND('Project Register'!H354&lt;&gt;"",'Project Register'!H354='Project Register'!L354),AND('Project Register'!J354&lt;&gt;"",'Project Register'!J354='Project Register'!L354)),"Same person listed twice. ","")&amp;IF(AND('Project Register'!H354&lt;&gt;"",COUNTIF(Resources!$A$2:$A$51,'Project Register'!H354)=0),"Resource 1 not in Resources sheet. ","")&amp;IF(AND('Project Register'!J354&lt;&gt;"",COUNTIF(Resources!$A$2:$A$51,'Project Register'!J354)=0),"Resource 2 not in Resources sheet. ","")&amp;IF(AND('Project Register'!L354&lt;&gt;"",COUNTIF(Resources!$A$2:$A$51,'Project Register'!L354)=0),"Resource 3 not in Resources sheet. ","")&amp;IF('Project Register'!O354="","Test Status missing. ","")&amp;IF(AND(ISNUMBER(E354),E354&gt;1),"This task alone needs over 100% per person. ","")&amp;IF(AND('Project Register'!Q354="Deployed in Live",'Project Register'!R354=""),"Release Date blank (import date will be used). ","")))</f>
        <v/>
      </c>
      <c r="G354" s="17" t="str">
        <f aca="false">IF('Project Register'!$A354="","",IF(F354="","OK","Check"))</f>
        <v/>
      </c>
    </row>
    <row r="355" customFormat="false" ht="15" hidden="false" customHeight="false" outlineLevel="0" collapsed="false">
      <c r="A355" s="15" t="str">
        <f aca="false">IF('Project Register'!$A355="","",ROW('Project Register'!A355))</f>
        <v/>
      </c>
      <c r="B355" s="15" t="str">
        <f aca="false">IF('Project Register'!$A355="","",'Project Register'!B355)</f>
        <v/>
      </c>
      <c r="C355" s="15" t="str">
        <f aca="false">IF('Project Register'!$A355="","",IF(OR('Project Register'!E355="",'Project Register'!F355=""),"",IF('Project Register'!F355&lt;'Project Register'!E355,0,NETWORKDAYS.INTL('Project Register'!E355,'Project Register'!F355,"0000110",Holidays_Leave!$A$3:$A$62))))</f>
        <v/>
      </c>
      <c r="D355" s="15" t="str">
        <f aca="false">IF('Project Register'!$A355="","",('Project Register'!H355&lt;&gt;"")+('Project Register'!J355&lt;&gt;"")+('Project Register'!L355&lt;&gt;""))</f>
        <v/>
      </c>
      <c r="E355" s="16" t="str">
        <f aca="false">IF(OR(C355="",D355="",'Project Register'!G355=""),"",IF(OR(C355=0,D355=0),"",'Project Register'!G355/(C355*D355)))</f>
        <v/>
      </c>
      <c r="F355" s="15" t="str">
        <f aca="false">IF('Project Register'!$A355="","",TRIM(IF(OR('Project Register'!E355="",'Project Register'!F355=""),"Missing date. ","")&amp;IF(AND('Project Register'!E355&lt;&gt;"",'Project Register'!F355&lt;&gt;"",'Project Register'!F355&lt;'Project Register'!E355),"End before start. ","")&amp;IF(NOT(ISNUMBER('Project Register'!G355)),"Effort missing. ","")&amp;IF(D355=0,"No resource. ","")&amp;IF(AND('Project Register'!H355&lt;&gt;"",'Project Register'!I355=""),"Role 1 missing. ","")&amp;IF(AND('Project Register'!J355&lt;&gt;"",'Project Register'!K355=""),"Role 2 missing. ","")&amp;IF(AND('Project Register'!L355&lt;&gt;"",'Project Register'!M355=""),"Role 3 missing. ","")&amp;IF(OR(AND('Project Register'!H355&lt;&gt;"",'Project Register'!H355='Project Register'!J355),AND('Project Register'!H355&lt;&gt;"",'Project Register'!H355='Project Register'!L355),AND('Project Register'!J355&lt;&gt;"",'Project Register'!J355='Project Register'!L355)),"Same person listed twice. ","")&amp;IF(AND('Project Register'!H355&lt;&gt;"",COUNTIF(Resources!$A$2:$A$51,'Project Register'!H355)=0),"Resource 1 not in Resources sheet. ","")&amp;IF(AND('Project Register'!J355&lt;&gt;"",COUNTIF(Resources!$A$2:$A$51,'Project Register'!J355)=0),"Resource 2 not in Resources sheet. ","")&amp;IF(AND('Project Register'!L355&lt;&gt;"",COUNTIF(Resources!$A$2:$A$51,'Project Register'!L355)=0),"Resource 3 not in Resources sheet. ","")&amp;IF('Project Register'!O355="","Test Status missing. ","")&amp;IF(AND(ISNUMBER(E355),E355&gt;1),"This task alone needs over 100% per person. ","")&amp;IF(AND('Project Register'!Q355="Deployed in Live",'Project Register'!R355=""),"Release Date blank (import date will be used). ","")))</f>
        <v/>
      </c>
      <c r="G355" s="17" t="str">
        <f aca="false">IF('Project Register'!$A355="","",IF(F355="","OK","Check"))</f>
        <v/>
      </c>
    </row>
    <row r="356" customFormat="false" ht="15" hidden="false" customHeight="false" outlineLevel="0" collapsed="false">
      <c r="A356" s="15" t="str">
        <f aca="false">IF('Project Register'!$A356="","",ROW('Project Register'!A356))</f>
        <v/>
      </c>
      <c r="B356" s="15" t="str">
        <f aca="false">IF('Project Register'!$A356="","",'Project Register'!B356)</f>
        <v/>
      </c>
      <c r="C356" s="15" t="str">
        <f aca="false">IF('Project Register'!$A356="","",IF(OR('Project Register'!E356="",'Project Register'!F356=""),"",IF('Project Register'!F356&lt;'Project Register'!E356,0,NETWORKDAYS.INTL('Project Register'!E356,'Project Register'!F356,"0000110",Holidays_Leave!$A$3:$A$62))))</f>
        <v/>
      </c>
      <c r="D356" s="15" t="str">
        <f aca="false">IF('Project Register'!$A356="","",('Project Register'!H356&lt;&gt;"")+('Project Register'!J356&lt;&gt;"")+('Project Register'!L356&lt;&gt;""))</f>
        <v/>
      </c>
      <c r="E356" s="16" t="str">
        <f aca="false">IF(OR(C356="",D356="",'Project Register'!G356=""),"",IF(OR(C356=0,D356=0),"",'Project Register'!G356/(C356*D356)))</f>
        <v/>
      </c>
      <c r="F356" s="15" t="str">
        <f aca="false">IF('Project Register'!$A356="","",TRIM(IF(OR('Project Register'!E356="",'Project Register'!F356=""),"Missing date. ","")&amp;IF(AND('Project Register'!E356&lt;&gt;"",'Project Register'!F356&lt;&gt;"",'Project Register'!F356&lt;'Project Register'!E356),"End before start. ","")&amp;IF(NOT(ISNUMBER('Project Register'!G356)),"Effort missing. ","")&amp;IF(D356=0,"No resource. ","")&amp;IF(AND('Project Register'!H356&lt;&gt;"",'Project Register'!I356=""),"Role 1 missing. ","")&amp;IF(AND('Project Register'!J356&lt;&gt;"",'Project Register'!K356=""),"Role 2 missing. ","")&amp;IF(AND('Project Register'!L356&lt;&gt;"",'Project Register'!M356=""),"Role 3 missing. ","")&amp;IF(OR(AND('Project Register'!H356&lt;&gt;"",'Project Register'!H356='Project Register'!J356),AND('Project Register'!H356&lt;&gt;"",'Project Register'!H356='Project Register'!L356),AND('Project Register'!J356&lt;&gt;"",'Project Register'!J356='Project Register'!L356)),"Same person listed twice. ","")&amp;IF(AND('Project Register'!H356&lt;&gt;"",COUNTIF(Resources!$A$2:$A$51,'Project Register'!H356)=0),"Resource 1 not in Resources sheet. ","")&amp;IF(AND('Project Register'!J356&lt;&gt;"",COUNTIF(Resources!$A$2:$A$51,'Project Register'!J356)=0),"Resource 2 not in Resources sheet. ","")&amp;IF(AND('Project Register'!L356&lt;&gt;"",COUNTIF(Resources!$A$2:$A$51,'Project Register'!L356)=0),"Resource 3 not in Resources sheet. ","")&amp;IF('Project Register'!O356="","Test Status missing. ","")&amp;IF(AND(ISNUMBER(E356),E356&gt;1),"This task alone needs over 100% per person. ","")&amp;IF(AND('Project Register'!Q356="Deployed in Live",'Project Register'!R356=""),"Release Date blank (import date will be used). ","")))</f>
        <v/>
      </c>
      <c r="G356" s="17" t="str">
        <f aca="false">IF('Project Register'!$A356="","",IF(F356="","OK","Check"))</f>
        <v/>
      </c>
    </row>
    <row r="357" customFormat="false" ht="15" hidden="false" customHeight="false" outlineLevel="0" collapsed="false">
      <c r="A357" s="15" t="str">
        <f aca="false">IF('Project Register'!$A357="","",ROW('Project Register'!A357))</f>
        <v/>
      </c>
      <c r="B357" s="15" t="str">
        <f aca="false">IF('Project Register'!$A357="","",'Project Register'!B357)</f>
        <v/>
      </c>
      <c r="C357" s="15" t="str">
        <f aca="false">IF('Project Register'!$A357="","",IF(OR('Project Register'!E357="",'Project Register'!F357=""),"",IF('Project Register'!F357&lt;'Project Register'!E357,0,NETWORKDAYS.INTL('Project Register'!E357,'Project Register'!F357,"0000110",Holidays_Leave!$A$3:$A$62))))</f>
        <v/>
      </c>
      <c r="D357" s="15" t="str">
        <f aca="false">IF('Project Register'!$A357="","",('Project Register'!H357&lt;&gt;"")+('Project Register'!J357&lt;&gt;"")+('Project Register'!L357&lt;&gt;""))</f>
        <v/>
      </c>
      <c r="E357" s="16" t="str">
        <f aca="false">IF(OR(C357="",D357="",'Project Register'!G357=""),"",IF(OR(C357=0,D357=0),"",'Project Register'!G357/(C357*D357)))</f>
        <v/>
      </c>
      <c r="F357" s="15" t="str">
        <f aca="false">IF('Project Register'!$A357="","",TRIM(IF(OR('Project Register'!E357="",'Project Register'!F357=""),"Missing date. ","")&amp;IF(AND('Project Register'!E357&lt;&gt;"",'Project Register'!F357&lt;&gt;"",'Project Register'!F357&lt;'Project Register'!E357),"End before start. ","")&amp;IF(NOT(ISNUMBER('Project Register'!G357)),"Effort missing. ","")&amp;IF(D357=0,"No resource. ","")&amp;IF(AND('Project Register'!H357&lt;&gt;"",'Project Register'!I357=""),"Role 1 missing. ","")&amp;IF(AND('Project Register'!J357&lt;&gt;"",'Project Register'!K357=""),"Role 2 missing. ","")&amp;IF(AND('Project Register'!L357&lt;&gt;"",'Project Register'!M357=""),"Role 3 missing. ","")&amp;IF(OR(AND('Project Register'!H357&lt;&gt;"",'Project Register'!H357='Project Register'!J357),AND('Project Register'!H357&lt;&gt;"",'Project Register'!H357='Project Register'!L357),AND('Project Register'!J357&lt;&gt;"",'Project Register'!J357='Project Register'!L357)),"Same person listed twice. ","")&amp;IF(AND('Project Register'!H357&lt;&gt;"",COUNTIF(Resources!$A$2:$A$51,'Project Register'!H357)=0),"Resource 1 not in Resources sheet. ","")&amp;IF(AND('Project Register'!J357&lt;&gt;"",COUNTIF(Resources!$A$2:$A$51,'Project Register'!J357)=0),"Resource 2 not in Resources sheet. ","")&amp;IF(AND('Project Register'!L357&lt;&gt;"",COUNTIF(Resources!$A$2:$A$51,'Project Register'!L357)=0),"Resource 3 not in Resources sheet. ","")&amp;IF('Project Register'!O357="","Test Status missing. ","")&amp;IF(AND(ISNUMBER(E357),E357&gt;1),"This task alone needs over 100% per person. ","")&amp;IF(AND('Project Register'!Q357="Deployed in Live",'Project Register'!R357=""),"Release Date blank (import date will be used). ","")))</f>
        <v/>
      </c>
      <c r="G357" s="17" t="str">
        <f aca="false">IF('Project Register'!$A357="","",IF(F357="","OK","Check"))</f>
        <v/>
      </c>
    </row>
    <row r="358" customFormat="false" ht="15" hidden="false" customHeight="false" outlineLevel="0" collapsed="false">
      <c r="A358" s="15" t="str">
        <f aca="false">IF('Project Register'!$A358="","",ROW('Project Register'!A358))</f>
        <v/>
      </c>
      <c r="B358" s="15" t="str">
        <f aca="false">IF('Project Register'!$A358="","",'Project Register'!B358)</f>
        <v/>
      </c>
      <c r="C358" s="15" t="str">
        <f aca="false">IF('Project Register'!$A358="","",IF(OR('Project Register'!E358="",'Project Register'!F358=""),"",IF('Project Register'!F358&lt;'Project Register'!E358,0,NETWORKDAYS.INTL('Project Register'!E358,'Project Register'!F358,"0000110",Holidays_Leave!$A$3:$A$62))))</f>
        <v/>
      </c>
      <c r="D358" s="15" t="str">
        <f aca="false">IF('Project Register'!$A358="","",('Project Register'!H358&lt;&gt;"")+('Project Register'!J358&lt;&gt;"")+('Project Register'!L358&lt;&gt;""))</f>
        <v/>
      </c>
      <c r="E358" s="16" t="str">
        <f aca="false">IF(OR(C358="",D358="",'Project Register'!G358=""),"",IF(OR(C358=0,D358=0),"",'Project Register'!G358/(C358*D358)))</f>
        <v/>
      </c>
      <c r="F358" s="15" t="str">
        <f aca="false">IF('Project Register'!$A358="","",TRIM(IF(OR('Project Register'!E358="",'Project Register'!F358=""),"Missing date. ","")&amp;IF(AND('Project Register'!E358&lt;&gt;"",'Project Register'!F358&lt;&gt;"",'Project Register'!F358&lt;'Project Register'!E358),"End before start. ","")&amp;IF(NOT(ISNUMBER('Project Register'!G358)),"Effort missing. ","")&amp;IF(D358=0,"No resource. ","")&amp;IF(AND('Project Register'!H358&lt;&gt;"",'Project Register'!I358=""),"Role 1 missing. ","")&amp;IF(AND('Project Register'!J358&lt;&gt;"",'Project Register'!K358=""),"Role 2 missing. ","")&amp;IF(AND('Project Register'!L358&lt;&gt;"",'Project Register'!M358=""),"Role 3 missing. ","")&amp;IF(OR(AND('Project Register'!H358&lt;&gt;"",'Project Register'!H358='Project Register'!J358),AND('Project Register'!H358&lt;&gt;"",'Project Register'!H358='Project Register'!L358),AND('Project Register'!J358&lt;&gt;"",'Project Register'!J358='Project Register'!L358)),"Same person listed twice. ","")&amp;IF(AND('Project Register'!H358&lt;&gt;"",COUNTIF(Resources!$A$2:$A$51,'Project Register'!H358)=0),"Resource 1 not in Resources sheet. ","")&amp;IF(AND('Project Register'!J358&lt;&gt;"",COUNTIF(Resources!$A$2:$A$51,'Project Register'!J358)=0),"Resource 2 not in Resources sheet. ","")&amp;IF(AND('Project Register'!L358&lt;&gt;"",COUNTIF(Resources!$A$2:$A$51,'Project Register'!L358)=0),"Resource 3 not in Resources sheet. ","")&amp;IF('Project Register'!O358="","Test Status missing. ","")&amp;IF(AND(ISNUMBER(E358),E358&gt;1),"This task alone needs over 100% per person. ","")&amp;IF(AND('Project Register'!Q358="Deployed in Live",'Project Register'!R358=""),"Release Date blank (import date will be used). ","")))</f>
        <v/>
      </c>
      <c r="G358" s="17" t="str">
        <f aca="false">IF('Project Register'!$A358="","",IF(F358="","OK","Check"))</f>
        <v/>
      </c>
    </row>
    <row r="359" customFormat="false" ht="15" hidden="false" customHeight="false" outlineLevel="0" collapsed="false">
      <c r="A359" s="15" t="str">
        <f aca="false">IF('Project Register'!$A359="","",ROW('Project Register'!A359))</f>
        <v/>
      </c>
      <c r="B359" s="15" t="str">
        <f aca="false">IF('Project Register'!$A359="","",'Project Register'!B359)</f>
        <v/>
      </c>
      <c r="C359" s="15" t="str">
        <f aca="false">IF('Project Register'!$A359="","",IF(OR('Project Register'!E359="",'Project Register'!F359=""),"",IF('Project Register'!F359&lt;'Project Register'!E359,0,NETWORKDAYS.INTL('Project Register'!E359,'Project Register'!F359,"0000110",Holidays_Leave!$A$3:$A$62))))</f>
        <v/>
      </c>
      <c r="D359" s="15" t="str">
        <f aca="false">IF('Project Register'!$A359="","",('Project Register'!H359&lt;&gt;"")+('Project Register'!J359&lt;&gt;"")+('Project Register'!L359&lt;&gt;""))</f>
        <v/>
      </c>
      <c r="E359" s="16" t="str">
        <f aca="false">IF(OR(C359="",D359="",'Project Register'!G359=""),"",IF(OR(C359=0,D359=0),"",'Project Register'!G359/(C359*D359)))</f>
        <v/>
      </c>
      <c r="F359" s="15" t="str">
        <f aca="false">IF('Project Register'!$A359="","",TRIM(IF(OR('Project Register'!E359="",'Project Register'!F359=""),"Missing date. ","")&amp;IF(AND('Project Register'!E359&lt;&gt;"",'Project Register'!F359&lt;&gt;"",'Project Register'!F359&lt;'Project Register'!E359),"End before start. ","")&amp;IF(NOT(ISNUMBER('Project Register'!G359)),"Effort missing. ","")&amp;IF(D359=0,"No resource. ","")&amp;IF(AND('Project Register'!H359&lt;&gt;"",'Project Register'!I359=""),"Role 1 missing. ","")&amp;IF(AND('Project Register'!J359&lt;&gt;"",'Project Register'!K359=""),"Role 2 missing. ","")&amp;IF(AND('Project Register'!L359&lt;&gt;"",'Project Register'!M359=""),"Role 3 missing. ","")&amp;IF(OR(AND('Project Register'!H359&lt;&gt;"",'Project Register'!H359='Project Register'!J359),AND('Project Register'!H359&lt;&gt;"",'Project Register'!H359='Project Register'!L359),AND('Project Register'!J359&lt;&gt;"",'Project Register'!J359='Project Register'!L359)),"Same person listed twice. ","")&amp;IF(AND('Project Register'!H359&lt;&gt;"",COUNTIF(Resources!$A$2:$A$51,'Project Register'!H359)=0),"Resource 1 not in Resources sheet. ","")&amp;IF(AND('Project Register'!J359&lt;&gt;"",COUNTIF(Resources!$A$2:$A$51,'Project Register'!J359)=0),"Resource 2 not in Resources sheet. ","")&amp;IF(AND('Project Register'!L359&lt;&gt;"",COUNTIF(Resources!$A$2:$A$51,'Project Register'!L359)=0),"Resource 3 not in Resources sheet. ","")&amp;IF('Project Register'!O359="","Test Status missing. ","")&amp;IF(AND(ISNUMBER(E359),E359&gt;1),"This task alone needs over 100% per person. ","")&amp;IF(AND('Project Register'!Q359="Deployed in Live",'Project Register'!R359=""),"Release Date blank (import date will be used). ","")))</f>
        <v/>
      </c>
      <c r="G359" s="17" t="str">
        <f aca="false">IF('Project Register'!$A359="","",IF(F359="","OK","Check"))</f>
        <v/>
      </c>
    </row>
    <row r="360" customFormat="false" ht="15" hidden="false" customHeight="false" outlineLevel="0" collapsed="false">
      <c r="A360" s="15" t="str">
        <f aca="false">IF('Project Register'!$A360="","",ROW('Project Register'!A360))</f>
        <v/>
      </c>
      <c r="B360" s="15" t="str">
        <f aca="false">IF('Project Register'!$A360="","",'Project Register'!B360)</f>
        <v/>
      </c>
      <c r="C360" s="15" t="str">
        <f aca="false">IF('Project Register'!$A360="","",IF(OR('Project Register'!E360="",'Project Register'!F360=""),"",IF('Project Register'!F360&lt;'Project Register'!E360,0,NETWORKDAYS.INTL('Project Register'!E360,'Project Register'!F360,"0000110",Holidays_Leave!$A$3:$A$62))))</f>
        <v/>
      </c>
      <c r="D360" s="15" t="str">
        <f aca="false">IF('Project Register'!$A360="","",('Project Register'!H360&lt;&gt;"")+('Project Register'!J360&lt;&gt;"")+('Project Register'!L360&lt;&gt;""))</f>
        <v/>
      </c>
      <c r="E360" s="16" t="str">
        <f aca="false">IF(OR(C360="",D360="",'Project Register'!G360=""),"",IF(OR(C360=0,D360=0),"",'Project Register'!G360/(C360*D360)))</f>
        <v/>
      </c>
      <c r="F360" s="15" t="str">
        <f aca="false">IF('Project Register'!$A360="","",TRIM(IF(OR('Project Register'!E360="",'Project Register'!F360=""),"Missing date. ","")&amp;IF(AND('Project Register'!E360&lt;&gt;"",'Project Register'!F360&lt;&gt;"",'Project Register'!F360&lt;'Project Register'!E360),"End before start. ","")&amp;IF(NOT(ISNUMBER('Project Register'!G360)),"Effort missing. ","")&amp;IF(D360=0,"No resource. ","")&amp;IF(AND('Project Register'!H360&lt;&gt;"",'Project Register'!I360=""),"Role 1 missing. ","")&amp;IF(AND('Project Register'!J360&lt;&gt;"",'Project Register'!K360=""),"Role 2 missing. ","")&amp;IF(AND('Project Register'!L360&lt;&gt;"",'Project Register'!M360=""),"Role 3 missing. ","")&amp;IF(OR(AND('Project Register'!H360&lt;&gt;"",'Project Register'!H360='Project Register'!J360),AND('Project Register'!H360&lt;&gt;"",'Project Register'!H360='Project Register'!L360),AND('Project Register'!J360&lt;&gt;"",'Project Register'!J360='Project Register'!L360)),"Same person listed twice. ","")&amp;IF(AND('Project Register'!H360&lt;&gt;"",COUNTIF(Resources!$A$2:$A$51,'Project Register'!H360)=0),"Resource 1 not in Resources sheet. ","")&amp;IF(AND('Project Register'!J360&lt;&gt;"",COUNTIF(Resources!$A$2:$A$51,'Project Register'!J360)=0),"Resource 2 not in Resources sheet. ","")&amp;IF(AND('Project Register'!L360&lt;&gt;"",COUNTIF(Resources!$A$2:$A$51,'Project Register'!L360)=0),"Resource 3 not in Resources sheet. ","")&amp;IF('Project Register'!O360="","Test Status missing. ","")&amp;IF(AND(ISNUMBER(E360),E360&gt;1),"This task alone needs over 100% per person. ","")&amp;IF(AND('Project Register'!Q360="Deployed in Live",'Project Register'!R360=""),"Release Date blank (import date will be used). ","")))</f>
        <v/>
      </c>
      <c r="G360" s="17" t="str">
        <f aca="false">IF('Project Register'!$A360="","",IF(F360="","OK","Check"))</f>
        <v/>
      </c>
    </row>
    <row r="361" customFormat="false" ht="15" hidden="false" customHeight="false" outlineLevel="0" collapsed="false">
      <c r="A361" s="15" t="str">
        <f aca="false">IF('Project Register'!$A361="","",ROW('Project Register'!A361))</f>
        <v/>
      </c>
      <c r="B361" s="15" t="str">
        <f aca="false">IF('Project Register'!$A361="","",'Project Register'!B361)</f>
        <v/>
      </c>
      <c r="C361" s="15" t="str">
        <f aca="false">IF('Project Register'!$A361="","",IF(OR('Project Register'!E361="",'Project Register'!F361=""),"",IF('Project Register'!F361&lt;'Project Register'!E361,0,NETWORKDAYS.INTL('Project Register'!E361,'Project Register'!F361,"0000110",Holidays_Leave!$A$3:$A$62))))</f>
        <v/>
      </c>
      <c r="D361" s="15" t="str">
        <f aca="false">IF('Project Register'!$A361="","",('Project Register'!H361&lt;&gt;"")+('Project Register'!J361&lt;&gt;"")+('Project Register'!L361&lt;&gt;""))</f>
        <v/>
      </c>
      <c r="E361" s="16" t="str">
        <f aca="false">IF(OR(C361="",D361="",'Project Register'!G361=""),"",IF(OR(C361=0,D361=0),"",'Project Register'!G361/(C361*D361)))</f>
        <v/>
      </c>
      <c r="F361" s="15" t="str">
        <f aca="false">IF('Project Register'!$A361="","",TRIM(IF(OR('Project Register'!E361="",'Project Register'!F361=""),"Missing date. ","")&amp;IF(AND('Project Register'!E361&lt;&gt;"",'Project Register'!F361&lt;&gt;"",'Project Register'!F361&lt;'Project Register'!E361),"End before start. ","")&amp;IF(NOT(ISNUMBER('Project Register'!G361)),"Effort missing. ","")&amp;IF(D361=0,"No resource. ","")&amp;IF(AND('Project Register'!H361&lt;&gt;"",'Project Register'!I361=""),"Role 1 missing. ","")&amp;IF(AND('Project Register'!J361&lt;&gt;"",'Project Register'!K361=""),"Role 2 missing. ","")&amp;IF(AND('Project Register'!L361&lt;&gt;"",'Project Register'!M361=""),"Role 3 missing. ","")&amp;IF(OR(AND('Project Register'!H361&lt;&gt;"",'Project Register'!H361='Project Register'!J361),AND('Project Register'!H361&lt;&gt;"",'Project Register'!H361='Project Register'!L361),AND('Project Register'!J361&lt;&gt;"",'Project Register'!J361='Project Register'!L361)),"Same person listed twice. ","")&amp;IF(AND('Project Register'!H361&lt;&gt;"",COUNTIF(Resources!$A$2:$A$51,'Project Register'!H361)=0),"Resource 1 not in Resources sheet. ","")&amp;IF(AND('Project Register'!J361&lt;&gt;"",COUNTIF(Resources!$A$2:$A$51,'Project Register'!J361)=0),"Resource 2 not in Resources sheet. ","")&amp;IF(AND('Project Register'!L361&lt;&gt;"",COUNTIF(Resources!$A$2:$A$51,'Project Register'!L361)=0),"Resource 3 not in Resources sheet. ","")&amp;IF('Project Register'!O361="","Test Status missing. ","")&amp;IF(AND(ISNUMBER(E361),E361&gt;1),"This task alone needs over 100% per person. ","")&amp;IF(AND('Project Register'!Q361="Deployed in Live",'Project Register'!R361=""),"Release Date blank (import date will be used). ","")))</f>
        <v/>
      </c>
      <c r="G361" s="17" t="str">
        <f aca="false">IF('Project Register'!$A361="","",IF(F361="","OK","Check"))</f>
        <v/>
      </c>
    </row>
    <row r="362" customFormat="false" ht="15" hidden="false" customHeight="false" outlineLevel="0" collapsed="false">
      <c r="A362" s="15" t="str">
        <f aca="false">IF('Project Register'!$A362="","",ROW('Project Register'!A362))</f>
        <v/>
      </c>
      <c r="B362" s="15" t="str">
        <f aca="false">IF('Project Register'!$A362="","",'Project Register'!B362)</f>
        <v/>
      </c>
      <c r="C362" s="15" t="str">
        <f aca="false">IF('Project Register'!$A362="","",IF(OR('Project Register'!E362="",'Project Register'!F362=""),"",IF('Project Register'!F362&lt;'Project Register'!E362,0,NETWORKDAYS.INTL('Project Register'!E362,'Project Register'!F362,"0000110",Holidays_Leave!$A$3:$A$62))))</f>
        <v/>
      </c>
      <c r="D362" s="15" t="str">
        <f aca="false">IF('Project Register'!$A362="","",('Project Register'!H362&lt;&gt;"")+('Project Register'!J362&lt;&gt;"")+('Project Register'!L362&lt;&gt;""))</f>
        <v/>
      </c>
      <c r="E362" s="16" t="str">
        <f aca="false">IF(OR(C362="",D362="",'Project Register'!G362=""),"",IF(OR(C362=0,D362=0),"",'Project Register'!G362/(C362*D362)))</f>
        <v/>
      </c>
      <c r="F362" s="15" t="str">
        <f aca="false">IF('Project Register'!$A362="","",TRIM(IF(OR('Project Register'!E362="",'Project Register'!F362=""),"Missing date. ","")&amp;IF(AND('Project Register'!E362&lt;&gt;"",'Project Register'!F362&lt;&gt;"",'Project Register'!F362&lt;'Project Register'!E362),"End before start. ","")&amp;IF(NOT(ISNUMBER('Project Register'!G362)),"Effort missing. ","")&amp;IF(D362=0,"No resource. ","")&amp;IF(AND('Project Register'!H362&lt;&gt;"",'Project Register'!I362=""),"Role 1 missing. ","")&amp;IF(AND('Project Register'!J362&lt;&gt;"",'Project Register'!K362=""),"Role 2 missing. ","")&amp;IF(AND('Project Register'!L362&lt;&gt;"",'Project Register'!M362=""),"Role 3 missing. ","")&amp;IF(OR(AND('Project Register'!H362&lt;&gt;"",'Project Register'!H362='Project Register'!J362),AND('Project Register'!H362&lt;&gt;"",'Project Register'!H362='Project Register'!L362),AND('Project Register'!J362&lt;&gt;"",'Project Register'!J362='Project Register'!L362)),"Same person listed twice. ","")&amp;IF(AND('Project Register'!H362&lt;&gt;"",COUNTIF(Resources!$A$2:$A$51,'Project Register'!H362)=0),"Resource 1 not in Resources sheet. ","")&amp;IF(AND('Project Register'!J362&lt;&gt;"",COUNTIF(Resources!$A$2:$A$51,'Project Register'!J362)=0),"Resource 2 not in Resources sheet. ","")&amp;IF(AND('Project Register'!L362&lt;&gt;"",COUNTIF(Resources!$A$2:$A$51,'Project Register'!L362)=0),"Resource 3 not in Resources sheet. ","")&amp;IF('Project Register'!O362="","Test Status missing. ","")&amp;IF(AND(ISNUMBER(E362),E362&gt;1),"This task alone needs over 100% per person. ","")&amp;IF(AND('Project Register'!Q362="Deployed in Live",'Project Register'!R362=""),"Release Date blank (import date will be used). ","")))</f>
        <v/>
      </c>
      <c r="G362" s="17" t="str">
        <f aca="false">IF('Project Register'!$A362="","",IF(F362="","OK","Check"))</f>
        <v/>
      </c>
    </row>
    <row r="363" customFormat="false" ht="15" hidden="false" customHeight="false" outlineLevel="0" collapsed="false">
      <c r="A363" s="15" t="str">
        <f aca="false">IF('Project Register'!$A363="","",ROW('Project Register'!A363))</f>
        <v/>
      </c>
      <c r="B363" s="15" t="str">
        <f aca="false">IF('Project Register'!$A363="","",'Project Register'!B363)</f>
        <v/>
      </c>
      <c r="C363" s="15" t="str">
        <f aca="false">IF('Project Register'!$A363="","",IF(OR('Project Register'!E363="",'Project Register'!F363=""),"",IF('Project Register'!F363&lt;'Project Register'!E363,0,NETWORKDAYS.INTL('Project Register'!E363,'Project Register'!F363,"0000110",Holidays_Leave!$A$3:$A$62))))</f>
        <v/>
      </c>
      <c r="D363" s="15" t="str">
        <f aca="false">IF('Project Register'!$A363="","",('Project Register'!H363&lt;&gt;"")+('Project Register'!J363&lt;&gt;"")+('Project Register'!L363&lt;&gt;""))</f>
        <v/>
      </c>
      <c r="E363" s="16" t="str">
        <f aca="false">IF(OR(C363="",D363="",'Project Register'!G363=""),"",IF(OR(C363=0,D363=0),"",'Project Register'!G363/(C363*D363)))</f>
        <v/>
      </c>
      <c r="F363" s="15" t="str">
        <f aca="false">IF('Project Register'!$A363="","",TRIM(IF(OR('Project Register'!E363="",'Project Register'!F363=""),"Missing date. ","")&amp;IF(AND('Project Register'!E363&lt;&gt;"",'Project Register'!F363&lt;&gt;"",'Project Register'!F363&lt;'Project Register'!E363),"End before start. ","")&amp;IF(NOT(ISNUMBER('Project Register'!G363)),"Effort missing. ","")&amp;IF(D363=0,"No resource. ","")&amp;IF(AND('Project Register'!H363&lt;&gt;"",'Project Register'!I363=""),"Role 1 missing. ","")&amp;IF(AND('Project Register'!J363&lt;&gt;"",'Project Register'!K363=""),"Role 2 missing. ","")&amp;IF(AND('Project Register'!L363&lt;&gt;"",'Project Register'!M363=""),"Role 3 missing. ","")&amp;IF(OR(AND('Project Register'!H363&lt;&gt;"",'Project Register'!H363='Project Register'!J363),AND('Project Register'!H363&lt;&gt;"",'Project Register'!H363='Project Register'!L363),AND('Project Register'!J363&lt;&gt;"",'Project Register'!J363='Project Register'!L363)),"Same person listed twice. ","")&amp;IF(AND('Project Register'!H363&lt;&gt;"",COUNTIF(Resources!$A$2:$A$51,'Project Register'!H363)=0),"Resource 1 not in Resources sheet. ","")&amp;IF(AND('Project Register'!J363&lt;&gt;"",COUNTIF(Resources!$A$2:$A$51,'Project Register'!J363)=0),"Resource 2 not in Resources sheet. ","")&amp;IF(AND('Project Register'!L363&lt;&gt;"",COUNTIF(Resources!$A$2:$A$51,'Project Register'!L363)=0),"Resource 3 not in Resources sheet. ","")&amp;IF('Project Register'!O363="","Test Status missing. ","")&amp;IF(AND(ISNUMBER(E363),E363&gt;1),"This task alone needs over 100% per person. ","")&amp;IF(AND('Project Register'!Q363="Deployed in Live",'Project Register'!R363=""),"Release Date blank (import date will be used). ","")))</f>
        <v/>
      </c>
      <c r="G363" s="17" t="str">
        <f aca="false">IF('Project Register'!$A363="","",IF(F363="","OK","Check"))</f>
        <v/>
      </c>
    </row>
    <row r="364" customFormat="false" ht="15" hidden="false" customHeight="false" outlineLevel="0" collapsed="false">
      <c r="A364" s="15" t="str">
        <f aca="false">IF('Project Register'!$A364="","",ROW('Project Register'!A364))</f>
        <v/>
      </c>
      <c r="B364" s="15" t="str">
        <f aca="false">IF('Project Register'!$A364="","",'Project Register'!B364)</f>
        <v/>
      </c>
      <c r="C364" s="15" t="str">
        <f aca="false">IF('Project Register'!$A364="","",IF(OR('Project Register'!E364="",'Project Register'!F364=""),"",IF('Project Register'!F364&lt;'Project Register'!E364,0,NETWORKDAYS.INTL('Project Register'!E364,'Project Register'!F364,"0000110",Holidays_Leave!$A$3:$A$62))))</f>
        <v/>
      </c>
      <c r="D364" s="15" t="str">
        <f aca="false">IF('Project Register'!$A364="","",('Project Register'!H364&lt;&gt;"")+('Project Register'!J364&lt;&gt;"")+('Project Register'!L364&lt;&gt;""))</f>
        <v/>
      </c>
      <c r="E364" s="16" t="str">
        <f aca="false">IF(OR(C364="",D364="",'Project Register'!G364=""),"",IF(OR(C364=0,D364=0),"",'Project Register'!G364/(C364*D364)))</f>
        <v/>
      </c>
      <c r="F364" s="15" t="str">
        <f aca="false">IF('Project Register'!$A364="","",TRIM(IF(OR('Project Register'!E364="",'Project Register'!F364=""),"Missing date. ","")&amp;IF(AND('Project Register'!E364&lt;&gt;"",'Project Register'!F364&lt;&gt;"",'Project Register'!F364&lt;'Project Register'!E364),"End before start. ","")&amp;IF(NOT(ISNUMBER('Project Register'!G364)),"Effort missing. ","")&amp;IF(D364=0,"No resource. ","")&amp;IF(AND('Project Register'!H364&lt;&gt;"",'Project Register'!I364=""),"Role 1 missing. ","")&amp;IF(AND('Project Register'!J364&lt;&gt;"",'Project Register'!K364=""),"Role 2 missing. ","")&amp;IF(AND('Project Register'!L364&lt;&gt;"",'Project Register'!M364=""),"Role 3 missing. ","")&amp;IF(OR(AND('Project Register'!H364&lt;&gt;"",'Project Register'!H364='Project Register'!J364),AND('Project Register'!H364&lt;&gt;"",'Project Register'!H364='Project Register'!L364),AND('Project Register'!J364&lt;&gt;"",'Project Register'!J364='Project Register'!L364)),"Same person listed twice. ","")&amp;IF(AND('Project Register'!H364&lt;&gt;"",COUNTIF(Resources!$A$2:$A$51,'Project Register'!H364)=0),"Resource 1 not in Resources sheet. ","")&amp;IF(AND('Project Register'!J364&lt;&gt;"",COUNTIF(Resources!$A$2:$A$51,'Project Register'!J364)=0),"Resource 2 not in Resources sheet. ","")&amp;IF(AND('Project Register'!L364&lt;&gt;"",COUNTIF(Resources!$A$2:$A$51,'Project Register'!L364)=0),"Resource 3 not in Resources sheet. ","")&amp;IF('Project Register'!O364="","Test Status missing. ","")&amp;IF(AND(ISNUMBER(E364),E364&gt;1),"This task alone needs over 100% per person. ","")&amp;IF(AND('Project Register'!Q364="Deployed in Live",'Project Register'!R364=""),"Release Date blank (import date will be used). ","")))</f>
        <v/>
      </c>
      <c r="G364" s="17" t="str">
        <f aca="false">IF('Project Register'!$A364="","",IF(F364="","OK","Check"))</f>
        <v/>
      </c>
    </row>
    <row r="365" customFormat="false" ht="15" hidden="false" customHeight="false" outlineLevel="0" collapsed="false">
      <c r="A365" s="15" t="str">
        <f aca="false">IF('Project Register'!$A365="","",ROW('Project Register'!A365))</f>
        <v/>
      </c>
      <c r="B365" s="15" t="str">
        <f aca="false">IF('Project Register'!$A365="","",'Project Register'!B365)</f>
        <v/>
      </c>
      <c r="C365" s="15" t="str">
        <f aca="false">IF('Project Register'!$A365="","",IF(OR('Project Register'!E365="",'Project Register'!F365=""),"",IF('Project Register'!F365&lt;'Project Register'!E365,0,NETWORKDAYS.INTL('Project Register'!E365,'Project Register'!F365,"0000110",Holidays_Leave!$A$3:$A$62))))</f>
        <v/>
      </c>
      <c r="D365" s="15" t="str">
        <f aca="false">IF('Project Register'!$A365="","",('Project Register'!H365&lt;&gt;"")+('Project Register'!J365&lt;&gt;"")+('Project Register'!L365&lt;&gt;""))</f>
        <v/>
      </c>
      <c r="E365" s="16" t="str">
        <f aca="false">IF(OR(C365="",D365="",'Project Register'!G365=""),"",IF(OR(C365=0,D365=0),"",'Project Register'!G365/(C365*D365)))</f>
        <v/>
      </c>
      <c r="F365" s="15" t="str">
        <f aca="false">IF('Project Register'!$A365="","",TRIM(IF(OR('Project Register'!E365="",'Project Register'!F365=""),"Missing date. ","")&amp;IF(AND('Project Register'!E365&lt;&gt;"",'Project Register'!F365&lt;&gt;"",'Project Register'!F365&lt;'Project Register'!E365),"End before start. ","")&amp;IF(NOT(ISNUMBER('Project Register'!G365)),"Effort missing. ","")&amp;IF(D365=0,"No resource. ","")&amp;IF(AND('Project Register'!H365&lt;&gt;"",'Project Register'!I365=""),"Role 1 missing. ","")&amp;IF(AND('Project Register'!J365&lt;&gt;"",'Project Register'!K365=""),"Role 2 missing. ","")&amp;IF(AND('Project Register'!L365&lt;&gt;"",'Project Register'!M365=""),"Role 3 missing. ","")&amp;IF(OR(AND('Project Register'!H365&lt;&gt;"",'Project Register'!H365='Project Register'!J365),AND('Project Register'!H365&lt;&gt;"",'Project Register'!H365='Project Register'!L365),AND('Project Register'!J365&lt;&gt;"",'Project Register'!J365='Project Register'!L365)),"Same person listed twice. ","")&amp;IF(AND('Project Register'!H365&lt;&gt;"",COUNTIF(Resources!$A$2:$A$51,'Project Register'!H365)=0),"Resource 1 not in Resources sheet. ","")&amp;IF(AND('Project Register'!J365&lt;&gt;"",COUNTIF(Resources!$A$2:$A$51,'Project Register'!J365)=0),"Resource 2 not in Resources sheet. ","")&amp;IF(AND('Project Register'!L365&lt;&gt;"",COUNTIF(Resources!$A$2:$A$51,'Project Register'!L365)=0),"Resource 3 not in Resources sheet. ","")&amp;IF('Project Register'!O365="","Test Status missing. ","")&amp;IF(AND(ISNUMBER(E365),E365&gt;1),"This task alone needs over 100% per person. ","")&amp;IF(AND('Project Register'!Q365="Deployed in Live",'Project Register'!R365=""),"Release Date blank (import date will be used). ","")))</f>
        <v/>
      </c>
      <c r="G365" s="17" t="str">
        <f aca="false">IF('Project Register'!$A365="","",IF(F365="","OK","Check"))</f>
        <v/>
      </c>
    </row>
    <row r="366" customFormat="false" ht="15" hidden="false" customHeight="false" outlineLevel="0" collapsed="false">
      <c r="A366" s="15" t="str">
        <f aca="false">IF('Project Register'!$A366="","",ROW('Project Register'!A366))</f>
        <v/>
      </c>
      <c r="B366" s="15" t="str">
        <f aca="false">IF('Project Register'!$A366="","",'Project Register'!B366)</f>
        <v/>
      </c>
      <c r="C366" s="15" t="str">
        <f aca="false">IF('Project Register'!$A366="","",IF(OR('Project Register'!E366="",'Project Register'!F366=""),"",IF('Project Register'!F366&lt;'Project Register'!E366,0,NETWORKDAYS.INTL('Project Register'!E366,'Project Register'!F366,"0000110",Holidays_Leave!$A$3:$A$62))))</f>
        <v/>
      </c>
      <c r="D366" s="15" t="str">
        <f aca="false">IF('Project Register'!$A366="","",('Project Register'!H366&lt;&gt;"")+('Project Register'!J366&lt;&gt;"")+('Project Register'!L366&lt;&gt;""))</f>
        <v/>
      </c>
      <c r="E366" s="16" t="str">
        <f aca="false">IF(OR(C366="",D366="",'Project Register'!G366=""),"",IF(OR(C366=0,D366=0),"",'Project Register'!G366/(C366*D366)))</f>
        <v/>
      </c>
      <c r="F366" s="15" t="str">
        <f aca="false">IF('Project Register'!$A366="","",TRIM(IF(OR('Project Register'!E366="",'Project Register'!F366=""),"Missing date. ","")&amp;IF(AND('Project Register'!E366&lt;&gt;"",'Project Register'!F366&lt;&gt;"",'Project Register'!F366&lt;'Project Register'!E366),"End before start. ","")&amp;IF(NOT(ISNUMBER('Project Register'!G366)),"Effort missing. ","")&amp;IF(D366=0,"No resource. ","")&amp;IF(AND('Project Register'!H366&lt;&gt;"",'Project Register'!I366=""),"Role 1 missing. ","")&amp;IF(AND('Project Register'!J366&lt;&gt;"",'Project Register'!K366=""),"Role 2 missing. ","")&amp;IF(AND('Project Register'!L366&lt;&gt;"",'Project Register'!M366=""),"Role 3 missing. ","")&amp;IF(OR(AND('Project Register'!H366&lt;&gt;"",'Project Register'!H366='Project Register'!J366),AND('Project Register'!H366&lt;&gt;"",'Project Register'!H366='Project Register'!L366),AND('Project Register'!J366&lt;&gt;"",'Project Register'!J366='Project Register'!L366)),"Same person listed twice. ","")&amp;IF(AND('Project Register'!H366&lt;&gt;"",COUNTIF(Resources!$A$2:$A$51,'Project Register'!H366)=0),"Resource 1 not in Resources sheet. ","")&amp;IF(AND('Project Register'!J366&lt;&gt;"",COUNTIF(Resources!$A$2:$A$51,'Project Register'!J366)=0),"Resource 2 not in Resources sheet. ","")&amp;IF(AND('Project Register'!L366&lt;&gt;"",COUNTIF(Resources!$A$2:$A$51,'Project Register'!L366)=0),"Resource 3 not in Resources sheet. ","")&amp;IF('Project Register'!O366="","Test Status missing. ","")&amp;IF(AND(ISNUMBER(E366),E366&gt;1),"This task alone needs over 100% per person. ","")&amp;IF(AND('Project Register'!Q366="Deployed in Live",'Project Register'!R366=""),"Release Date blank (import date will be used). ","")))</f>
        <v/>
      </c>
      <c r="G366" s="17" t="str">
        <f aca="false">IF('Project Register'!$A366="","",IF(F366="","OK","Check"))</f>
        <v/>
      </c>
    </row>
    <row r="367" customFormat="false" ht="15" hidden="false" customHeight="false" outlineLevel="0" collapsed="false">
      <c r="A367" s="15" t="str">
        <f aca="false">IF('Project Register'!$A367="","",ROW('Project Register'!A367))</f>
        <v/>
      </c>
      <c r="B367" s="15" t="str">
        <f aca="false">IF('Project Register'!$A367="","",'Project Register'!B367)</f>
        <v/>
      </c>
      <c r="C367" s="15" t="str">
        <f aca="false">IF('Project Register'!$A367="","",IF(OR('Project Register'!E367="",'Project Register'!F367=""),"",IF('Project Register'!F367&lt;'Project Register'!E367,0,NETWORKDAYS.INTL('Project Register'!E367,'Project Register'!F367,"0000110",Holidays_Leave!$A$3:$A$62))))</f>
        <v/>
      </c>
      <c r="D367" s="15" t="str">
        <f aca="false">IF('Project Register'!$A367="","",('Project Register'!H367&lt;&gt;"")+('Project Register'!J367&lt;&gt;"")+('Project Register'!L367&lt;&gt;""))</f>
        <v/>
      </c>
      <c r="E367" s="16" t="str">
        <f aca="false">IF(OR(C367="",D367="",'Project Register'!G367=""),"",IF(OR(C367=0,D367=0),"",'Project Register'!G367/(C367*D367)))</f>
        <v/>
      </c>
      <c r="F367" s="15" t="str">
        <f aca="false">IF('Project Register'!$A367="","",TRIM(IF(OR('Project Register'!E367="",'Project Register'!F367=""),"Missing date. ","")&amp;IF(AND('Project Register'!E367&lt;&gt;"",'Project Register'!F367&lt;&gt;"",'Project Register'!F367&lt;'Project Register'!E367),"End before start. ","")&amp;IF(NOT(ISNUMBER('Project Register'!G367)),"Effort missing. ","")&amp;IF(D367=0,"No resource. ","")&amp;IF(AND('Project Register'!H367&lt;&gt;"",'Project Register'!I367=""),"Role 1 missing. ","")&amp;IF(AND('Project Register'!J367&lt;&gt;"",'Project Register'!K367=""),"Role 2 missing. ","")&amp;IF(AND('Project Register'!L367&lt;&gt;"",'Project Register'!M367=""),"Role 3 missing. ","")&amp;IF(OR(AND('Project Register'!H367&lt;&gt;"",'Project Register'!H367='Project Register'!J367),AND('Project Register'!H367&lt;&gt;"",'Project Register'!H367='Project Register'!L367),AND('Project Register'!J367&lt;&gt;"",'Project Register'!J367='Project Register'!L367)),"Same person listed twice. ","")&amp;IF(AND('Project Register'!H367&lt;&gt;"",COUNTIF(Resources!$A$2:$A$51,'Project Register'!H367)=0),"Resource 1 not in Resources sheet. ","")&amp;IF(AND('Project Register'!J367&lt;&gt;"",COUNTIF(Resources!$A$2:$A$51,'Project Register'!J367)=0),"Resource 2 not in Resources sheet. ","")&amp;IF(AND('Project Register'!L367&lt;&gt;"",COUNTIF(Resources!$A$2:$A$51,'Project Register'!L367)=0),"Resource 3 not in Resources sheet. ","")&amp;IF('Project Register'!O367="","Test Status missing. ","")&amp;IF(AND(ISNUMBER(E367),E367&gt;1),"This task alone needs over 100% per person. ","")&amp;IF(AND('Project Register'!Q367="Deployed in Live",'Project Register'!R367=""),"Release Date blank (import date will be used). ","")))</f>
        <v/>
      </c>
      <c r="G367" s="17" t="str">
        <f aca="false">IF('Project Register'!$A367="","",IF(F367="","OK","Check"))</f>
        <v/>
      </c>
    </row>
    <row r="368" customFormat="false" ht="15" hidden="false" customHeight="false" outlineLevel="0" collapsed="false">
      <c r="A368" s="15" t="str">
        <f aca="false">IF('Project Register'!$A368="","",ROW('Project Register'!A368))</f>
        <v/>
      </c>
      <c r="B368" s="15" t="str">
        <f aca="false">IF('Project Register'!$A368="","",'Project Register'!B368)</f>
        <v/>
      </c>
      <c r="C368" s="15" t="str">
        <f aca="false">IF('Project Register'!$A368="","",IF(OR('Project Register'!E368="",'Project Register'!F368=""),"",IF('Project Register'!F368&lt;'Project Register'!E368,0,NETWORKDAYS.INTL('Project Register'!E368,'Project Register'!F368,"0000110",Holidays_Leave!$A$3:$A$62))))</f>
        <v/>
      </c>
      <c r="D368" s="15" t="str">
        <f aca="false">IF('Project Register'!$A368="","",('Project Register'!H368&lt;&gt;"")+('Project Register'!J368&lt;&gt;"")+('Project Register'!L368&lt;&gt;""))</f>
        <v/>
      </c>
      <c r="E368" s="16" t="str">
        <f aca="false">IF(OR(C368="",D368="",'Project Register'!G368=""),"",IF(OR(C368=0,D368=0),"",'Project Register'!G368/(C368*D368)))</f>
        <v/>
      </c>
      <c r="F368" s="15" t="str">
        <f aca="false">IF('Project Register'!$A368="","",TRIM(IF(OR('Project Register'!E368="",'Project Register'!F368=""),"Missing date. ","")&amp;IF(AND('Project Register'!E368&lt;&gt;"",'Project Register'!F368&lt;&gt;"",'Project Register'!F368&lt;'Project Register'!E368),"End before start. ","")&amp;IF(NOT(ISNUMBER('Project Register'!G368)),"Effort missing. ","")&amp;IF(D368=0,"No resource. ","")&amp;IF(AND('Project Register'!H368&lt;&gt;"",'Project Register'!I368=""),"Role 1 missing. ","")&amp;IF(AND('Project Register'!J368&lt;&gt;"",'Project Register'!K368=""),"Role 2 missing. ","")&amp;IF(AND('Project Register'!L368&lt;&gt;"",'Project Register'!M368=""),"Role 3 missing. ","")&amp;IF(OR(AND('Project Register'!H368&lt;&gt;"",'Project Register'!H368='Project Register'!J368),AND('Project Register'!H368&lt;&gt;"",'Project Register'!H368='Project Register'!L368),AND('Project Register'!J368&lt;&gt;"",'Project Register'!J368='Project Register'!L368)),"Same person listed twice. ","")&amp;IF(AND('Project Register'!H368&lt;&gt;"",COUNTIF(Resources!$A$2:$A$51,'Project Register'!H368)=0),"Resource 1 not in Resources sheet. ","")&amp;IF(AND('Project Register'!J368&lt;&gt;"",COUNTIF(Resources!$A$2:$A$51,'Project Register'!J368)=0),"Resource 2 not in Resources sheet. ","")&amp;IF(AND('Project Register'!L368&lt;&gt;"",COUNTIF(Resources!$A$2:$A$51,'Project Register'!L368)=0),"Resource 3 not in Resources sheet. ","")&amp;IF('Project Register'!O368="","Test Status missing. ","")&amp;IF(AND(ISNUMBER(E368),E368&gt;1),"This task alone needs over 100% per person. ","")&amp;IF(AND('Project Register'!Q368="Deployed in Live",'Project Register'!R368=""),"Release Date blank (import date will be used). ","")))</f>
        <v/>
      </c>
      <c r="G368" s="17" t="str">
        <f aca="false">IF('Project Register'!$A368="","",IF(F368="","OK","Check"))</f>
        <v/>
      </c>
    </row>
    <row r="369" customFormat="false" ht="15" hidden="false" customHeight="false" outlineLevel="0" collapsed="false">
      <c r="A369" s="15" t="str">
        <f aca="false">IF('Project Register'!$A369="","",ROW('Project Register'!A369))</f>
        <v/>
      </c>
      <c r="B369" s="15" t="str">
        <f aca="false">IF('Project Register'!$A369="","",'Project Register'!B369)</f>
        <v/>
      </c>
      <c r="C369" s="15" t="str">
        <f aca="false">IF('Project Register'!$A369="","",IF(OR('Project Register'!E369="",'Project Register'!F369=""),"",IF('Project Register'!F369&lt;'Project Register'!E369,0,NETWORKDAYS.INTL('Project Register'!E369,'Project Register'!F369,"0000110",Holidays_Leave!$A$3:$A$62))))</f>
        <v/>
      </c>
      <c r="D369" s="15" t="str">
        <f aca="false">IF('Project Register'!$A369="","",('Project Register'!H369&lt;&gt;"")+('Project Register'!J369&lt;&gt;"")+('Project Register'!L369&lt;&gt;""))</f>
        <v/>
      </c>
      <c r="E369" s="16" t="str">
        <f aca="false">IF(OR(C369="",D369="",'Project Register'!G369=""),"",IF(OR(C369=0,D369=0),"",'Project Register'!G369/(C369*D369)))</f>
        <v/>
      </c>
      <c r="F369" s="15" t="str">
        <f aca="false">IF('Project Register'!$A369="","",TRIM(IF(OR('Project Register'!E369="",'Project Register'!F369=""),"Missing date. ","")&amp;IF(AND('Project Register'!E369&lt;&gt;"",'Project Register'!F369&lt;&gt;"",'Project Register'!F369&lt;'Project Register'!E369),"End before start. ","")&amp;IF(NOT(ISNUMBER('Project Register'!G369)),"Effort missing. ","")&amp;IF(D369=0,"No resource. ","")&amp;IF(AND('Project Register'!H369&lt;&gt;"",'Project Register'!I369=""),"Role 1 missing. ","")&amp;IF(AND('Project Register'!J369&lt;&gt;"",'Project Register'!K369=""),"Role 2 missing. ","")&amp;IF(AND('Project Register'!L369&lt;&gt;"",'Project Register'!M369=""),"Role 3 missing. ","")&amp;IF(OR(AND('Project Register'!H369&lt;&gt;"",'Project Register'!H369='Project Register'!J369),AND('Project Register'!H369&lt;&gt;"",'Project Register'!H369='Project Register'!L369),AND('Project Register'!J369&lt;&gt;"",'Project Register'!J369='Project Register'!L369)),"Same person listed twice. ","")&amp;IF(AND('Project Register'!H369&lt;&gt;"",COUNTIF(Resources!$A$2:$A$51,'Project Register'!H369)=0),"Resource 1 not in Resources sheet. ","")&amp;IF(AND('Project Register'!J369&lt;&gt;"",COUNTIF(Resources!$A$2:$A$51,'Project Register'!J369)=0),"Resource 2 not in Resources sheet. ","")&amp;IF(AND('Project Register'!L369&lt;&gt;"",COUNTIF(Resources!$A$2:$A$51,'Project Register'!L369)=0),"Resource 3 not in Resources sheet. ","")&amp;IF('Project Register'!O369="","Test Status missing. ","")&amp;IF(AND(ISNUMBER(E369),E369&gt;1),"This task alone needs over 100% per person. ","")&amp;IF(AND('Project Register'!Q369="Deployed in Live",'Project Register'!R369=""),"Release Date blank (import date will be used). ","")))</f>
        <v/>
      </c>
      <c r="G369" s="17" t="str">
        <f aca="false">IF('Project Register'!$A369="","",IF(F369="","OK","Check"))</f>
        <v/>
      </c>
    </row>
    <row r="370" customFormat="false" ht="15" hidden="false" customHeight="false" outlineLevel="0" collapsed="false">
      <c r="A370" s="15" t="str">
        <f aca="false">IF('Project Register'!$A370="","",ROW('Project Register'!A370))</f>
        <v/>
      </c>
      <c r="B370" s="15" t="str">
        <f aca="false">IF('Project Register'!$A370="","",'Project Register'!B370)</f>
        <v/>
      </c>
      <c r="C370" s="15" t="str">
        <f aca="false">IF('Project Register'!$A370="","",IF(OR('Project Register'!E370="",'Project Register'!F370=""),"",IF('Project Register'!F370&lt;'Project Register'!E370,0,NETWORKDAYS.INTL('Project Register'!E370,'Project Register'!F370,"0000110",Holidays_Leave!$A$3:$A$62))))</f>
        <v/>
      </c>
      <c r="D370" s="15" t="str">
        <f aca="false">IF('Project Register'!$A370="","",('Project Register'!H370&lt;&gt;"")+('Project Register'!J370&lt;&gt;"")+('Project Register'!L370&lt;&gt;""))</f>
        <v/>
      </c>
      <c r="E370" s="16" t="str">
        <f aca="false">IF(OR(C370="",D370="",'Project Register'!G370=""),"",IF(OR(C370=0,D370=0),"",'Project Register'!G370/(C370*D370)))</f>
        <v/>
      </c>
      <c r="F370" s="15" t="str">
        <f aca="false">IF('Project Register'!$A370="","",TRIM(IF(OR('Project Register'!E370="",'Project Register'!F370=""),"Missing date. ","")&amp;IF(AND('Project Register'!E370&lt;&gt;"",'Project Register'!F370&lt;&gt;"",'Project Register'!F370&lt;'Project Register'!E370),"End before start. ","")&amp;IF(NOT(ISNUMBER('Project Register'!G370)),"Effort missing. ","")&amp;IF(D370=0,"No resource. ","")&amp;IF(AND('Project Register'!H370&lt;&gt;"",'Project Register'!I370=""),"Role 1 missing. ","")&amp;IF(AND('Project Register'!J370&lt;&gt;"",'Project Register'!K370=""),"Role 2 missing. ","")&amp;IF(AND('Project Register'!L370&lt;&gt;"",'Project Register'!M370=""),"Role 3 missing. ","")&amp;IF(OR(AND('Project Register'!H370&lt;&gt;"",'Project Register'!H370='Project Register'!J370),AND('Project Register'!H370&lt;&gt;"",'Project Register'!H370='Project Register'!L370),AND('Project Register'!J370&lt;&gt;"",'Project Register'!J370='Project Register'!L370)),"Same person listed twice. ","")&amp;IF(AND('Project Register'!H370&lt;&gt;"",COUNTIF(Resources!$A$2:$A$51,'Project Register'!H370)=0),"Resource 1 not in Resources sheet. ","")&amp;IF(AND('Project Register'!J370&lt;&gt;"",COUNTIF(Resources!$A$2:$A$51,'Project Register'!J370)=0),"Resource 2 not in Resources sheet. ","")&amp;IF(AND('Project Register'!L370&lt;&gt;"",COUNTIF(Resources!$A$2:$A$51,'Project Register'!L370)=0),"Resource 3 not in Resources sheet. ","")&amp;IF('Project Register'!O370="","Test Status missing. ","")&amp;IF(AND(ISNUMBER(E370),E370&gt;1),"This task alone needs over 100% per person. ","")&amp;IF(AND('Project Register'!Q370="Deployed in Live",'Project Register'!R370=""),"Release Date blank (import date will be used). ","")))</f>
        <v/>
      </c>
      <c r="G370" s="17" t="str">
        <f aca="false">IF('Project Register'!$A370="","",IF(F370="","OK","Check"))</f>
        <v/>
      </c>
    </row>
    <row r="371" customFormat="false" ht="15" hidden="false" customHeight="false" outlineLevel="0" collapsed="false">
      <c r="A371" s="15" t="str">
        <f aca="false">IF('Project Register'!$A371="","",ROW('Project Register'!A371))</f>
        <v/>
      </c>
      <c r="B371" s="15" t="str">
        <f aca="false">IF('Project Register'!$A371="","",'Project Register'!B371)</f>
        <v/>
      </c>
      <c r="C371" s="15" t="str">
        <f aca="false">IF('Project Register'!$A371="","",IF(OR('Project Register'!E371="",'Project Register'!F371=""),"",IF('Project Register'!F371&lt;'Project Register'!E371,0,NETWORKDAYS.INTL('Project Register'!E371,'Project Register'!F371,"0000110",Holidays_Leave!$A$3:$A$62))))</f>
        <v/>
      </c>
      <c r="D371" s="15" t="str">
        <f aca="false">IF('Project Register'!$A371="","",('Project Register'!H371&lt;&gt;"")+('Project Register'!J371&lt;&gt;"")+('Project Register'!L371&lt;&gt;""))</f>
        <v/>
      </c>
      <c r="E371" s="16" t="str">
        <f aca="false">IF(OR(C371="",D371="",'Project Register'!G371=""),"",IF(OR(C371=0,D371=0),"",'Project Register'!G371/(C371*D371)))</f>
        <v/>
      </c>
      <c r="F371" s="15" t="str">
        <f aca="false">IF('Project Register'!$A371="","",TRIM(IF(OR('Project Register'!E371="",'Project Register'!F371=""),"Missing date. ","")&amp;IF(AND('Project Register'!E371&lt;&gt;"",'Project Register'!F371&lt;&gt;"",'Project Register'!F371&lt;'Project Register'!E371),"End before start. ","")&amp;IF(NOT(ISNUMBER('Project Register'!G371)),"Effort missing. ","")&amp;IF(D371=0,"No resource. ","")&amp;IF(AND('Project Register'!H371&lt;&gt;"",'Project Register'!I371=""),"Role 1 missing. ","")&amp;IF(AND('Project Register'!J371&lt;&gt;"",'Project Register'!K371=""),"Role 2 missing. ","")&amp;IF(AND('Project Register'!L371&lt;&gt;"",'Project Register'!M371=""),"Role 3 missing. ","")&amp;IF(OR(AND('Project Register'!H371&lt;&gt;"",'Project Register'!H371='Project Register'!J371),AND('Project Register'!H371&lt;&gt;"",'Project Register'!H371='Project Register'!L371),AND('Project Register'!J371&lt;&gt;"",'Project Register'!J371='Project Register'!L371)),"Same person listed twice. ","")&amp;IF(AND('Project Register'!H371&lt;&gt;"",COUNTIF(Resources!$A$2:$A$51,'Project Register'!H371)=0),"Resource 1 not in Resources sheet. ","")&amp;IF(AND('Project Register'!J371&lt;&gt;"",COUNTIF(Resources!$A$2:$A$51,'Project Register'!J371)=0),"Resource 2 not in Resources sheet. ","")&amp;IF(AND('Project Register'!L371&lt;&gt;"",COUNTIF(Resources!$A$2:$A$51,'Project Register'!L371)=0),"Resource 3 not in Resources sheet. ","")&amp;IF('Project Register'!O371="","Test Status missing. ","")&amp;IF(AND(ISNUMBER(E371),E371&gt;1),"This task alone needs over 100% per person. ","")&amp;IF(AND('Project Register'!Q371="Deployed in Live",'Project Register'!R371=""),"Release Date blank (import date will be used). ","")))</f>
        <v/>
      </c>
      <c r="G371" s="17" t="str">
        <f aca="false">IF('Project Register'!$A371="","",IF(F371="","OK","Check"))</f>
        <v/>
      </c>
    </row>
    <row r="372" customFormat="false" ht="15" hidden="false" customHeight="false" outlineLevel="0" collapsed="false">
      <c r="A372" s="15" t="str">
        <f aca="false">IF('Project Register'!$A372="","",ROW('Project Register'!A372))</f>
        <v/>
      </c>
      <c r="B372" s="15" t="str">
        <f aca="false">IF('Project Register'!$A372="","",'Project Register'!B372)</f>
        <v/>
      </c>
      <c r="C372" s="15" t="str">
        <f aca="false">IF('Project Register'!$A372="","",IF(OR('Project Register'!E372="",'Project Register'!F372=""),"",IF('Project Register'!F372&lt;'Project Register'!E372,0,NETWORKDAYS.INTL('Project Register'!E372,'Project Register'!F372,"0000110",Holidays_Leave!$A$3:$A$62))))</f>
        <v/>
      </c>
      <c r="D372" s="15" t="str">
        <f aca="false">IF('Project Register'!$A372="","",('Project Register'!H372&lt;&gt;"")+('Project Register'!J372&lt;&gt;"")+('Project Register'!L372&lt;&gt;""))</f>
        <v/>
      </c>
      <c r="E372" s="16" t="str">
        <f aca="false">IF(OR(C372="",D372="",'Project Register'!G372=""),"",IF(OR(C372=0,D372=0),"",'Project Register'!G372/(C372*D372)))</f>
        <v/>
      </c>
      <c r="F372" s="15" t="str">
        <f aca="false">IF('Project Register'!$A372="","",TRIM(IF(OR('Project Register'!E372="",'Project Register'!F372=""),"Missing date. ","")&amp;IF(AND('Project Register'!E372&lt;&gt;"",'Project Register'!F372&lt;&gt;"",'Project Register'!F372&lt;'Project Register'!E372),"End before start. ","")&amp;IF(NOT(ISNUMBER('Project Register'!G372)),"Effort missing. ","")&amp;IF(D372=0,"No resource. ","")&amp;IF(AND('Project Register'!H372&lt;&gt;"",'Project Register'!I372=""),"Role 1 missing. ","")&amp;IF(AND('Project Register'!J372&lt;&gt;"",'Project Register'!K372=""),"Role 2 missing. ","")&amp;IF(AND('Project Register'!L372&lt;&gt;"",'Project Register'!M372=""),"Role 3 missing. ","")&amp;IF(OR(AND('Project Register'!H372&lt;&gt;"",'Project Register'!H372='Project Register'!J372),AND('Project Register'!H372&lt;&gt;"",'Project Register'!H372='Project Register'!L372),AND('Project Register'!J372&lt;&gt;"",'Project Register'!J372='Project Register'!L372)),"Same person listed twice. ","")&amp;IF(AND('Project Register'!H372&lt;&gt;"",COUNTIF(Resources!$A$2:$A$51,'Project Register'!H372)=0),"Resource 1 not in Resources sheet. ","")&amp;IF(AND('Project Register'!J372&lt;&gt;"",COUNTIF(Resources!$A$2:$A$51,'Project Register'!J372)=0),"Resource 2 not in Resources sheet. ","")&amp;IF(AND('Project Register'!L372&lt;&gt;"",COUNTIF(Resources!$A$2:$A$51,'Project Register'!L372)=0),"Resource 3 not in Resources sheet. ","")&amp;IF('Project Register'!O372="","Test Status missing. ","")&amp;IF(AND(ISNUMBER(E372),E372&gt;1),"This task alone needs over 100% per person. ","")&amp;IF(AND('Project Register'!Q372="Deployed in Live",'Project Register'!R372=""),"Release Date blank (import date will be used). ","")))</f>
        <v/>
      </c>
      <c r="G372" s="17" t="str">
        <f aca="false">IF('Project Register'!$A372="","",IF(F372="","OK","Check"))</f>
        <v/>
      </c>
    </row>
    <row r="373" customFormat="false" ht="15" hidden="false" customHeight="false" outlineLevel="0" collapsed="false">
      <c r="A373" s="15" t="str">
        <f aca="false">IF('Project Register'!$A373="","",ROW('Project Register'!A373))</f>
        <v/>
      </c>
      <c r="B373" s="15" t="str">
        <f aca="false">IF('Project Register'!$A373="","",'Project Register'!B373)</f>
        <v/>
      </c>
      <c r="C373" s="15" t="str">
        <f aca="false">IF('Project Register'!$A373="","",IF(OR('Project Register'!E373="",'Project Register'!F373=""),"",IF('Project Register'!F373&lt;'Project Register'!E373,0,NETWORKDAYS.INTL('Project Register'!E373,'Project Register'!F373,"0000110",Holidays_Leave!$A$3:$A$62))))</f>
        <v/>
      </c>
      <c r="D373" s="15" t="str">
        <f aca="false">IF('Project Register'!$A373="","",('Project Register'!H373&lt;&gt;"")+('Project Register'!J373&lt;&gt;"")+('Project Register'!L373&lt;&gt;""))</f>
        <v/>
      </c>
      <c r="E373" s="16" t="str">
        <f aca="false">IF(OR(C373="",D373="",'Project Register'!G373=""),"",IF(OR(C373=0,D373=0),"",'Project Register'!G373/(C373*D373)))</f>
        <v/>
      </c>
      <c r="F373" s="15" t="str">
        <f aca="false">IF('Project Register'!$A373="","",TRIM(IF(OR('Project Register'!E373="",'Project Register'!F373=""),"Missing date. ","")&amp;IF(AND('Project Register'!E373&lt;&gt;"",'Project Register'!F373&lt;&gt;"",'Project Register'!F373&lt;'Project Register'!E373),"End before start. ","")&amp;IF(NOT(ISNUMBER('Project Register'!G373)),"Effort missing. ","")&amp;IF(D373=0,"No resource. ","")&amp;IF(AND('Project Register'!H373&lt;&gt;"",'Project Register'!I373=""),"Role 1 missing. ","")&amp;IF(AND('Project Register'!J373&lt;&gt;"",'Project Register'!K373=""),"Role 2 missing. ","")&amp;IF(AND('Project Register'!L373&lt;&gt;"",'Project Register'!M373=""),"Role 3 missing. ","")&amp;IF(OR(AND('Project Register'!H373&lt;&gt;"",'Project Register'!H373='Project Register'!J373),AND('Project Register'!H373&lt;&gt;"",'Project Register'!H373='Project Register'!L373),AND('Project Register'!J373&lt;&gt;"",'Project Register'!J373='Project Register'!L373)),"Same person listed twice. ","")&amp;IF(AND('Project Register'!H373&lt;&gt;"",COUNTIF(Resources!$A$2:$A$51,'Project Register'!H373)=0),"Resource 1 not in Resources sheet. ","")&amp;IF(AND('Project Register'!J373&lt;&gt;"",COUNTIF(Resources!$A$2:$A$51,'Project Register'!J373)=0),"Resource 2 not in Resources sheet. ","")&amp;IF(AND('Project Register'!L373&lt;&gt;"",COUNTIF(Resources!$A$2:$A$51,'Project Register'!L373)=0),"Resource 3 not in Resources sheet. ","")&amp;IF('Project Register'!O373="","Test Status missing. ","")&amp;IF(AND(ISNUMBER(E373),E373&gt;1),"This task alone needs over 100% per person. ","")&amp;IF(AND('Project Register'!Q373="Deployed in Live",'Project Register'!R373=""),"Release Date blank (import date will be used). ","")))</f>
        <v/>
      </c>
      <c r="G373" s="17" t="str">
        <f aca="false">IF('Project Register'!$A373="","",IF(F373="","OK","Check"))</f>
        <v/>
      </c>
    </row>
    <row r="374" customFormat="false" ht="15" hidden="false" customHeight="false" outlineLevel="0" collapsed="false">
      <c r="A374" s="15" t="str">
        <f aca="false">IF('Project Register'!$A374="","",ROW('Project Register'!A374))</f>
        <v/>
      </c>
      <c r="B374" s="15" t="str">
        <f aca="false">IF('Project Register'!$A374="","",'Project Register'!B374)</f>
        <v/>
      </c>
      <c r="C374" s="15" t="str">
        <f aca="false">IF('Project Register'!$A374="","",IF(OR('Project Register'!E374="",'Project Register'!F374=""),"",IF('Project Register'!F374&lt;'Project Register'!E374,0,NETWORKDAYS.INTL('Project Register'!E374,'Project Register'!F374,"0000110",Holidays_Leave!$A$3:$A$62))))</f>
        <v/>
      </c>
      <c r="D374" s="15" t="str">
        <f aca="false">IF('Project Register'!$A374="","",('Project Register'!H374&lt;&gt;"")+('Project Register'!J374&lt;&gt;"")+('Project Register'!L374&lt;&gt;""))</f>
        <v/>
      </c>
      <c r="E374" s="16" t="str">
        <f aca="false">IF(OR(C374="",D374="",'Project Register'!G374=""),"",IF(OR(C374=0,D374=0),"",'Project Register'!G374/(C374*D374)))</f>
        <v/>
      </c>
      <c r="F374" s="15" t="str">
        <f aca="false">IF('Project Register'!$A374="","",TRIM(IF(OR('Project Register'!E374="",'Project Register'!F374=""),"Missing date. ","")&amp;IF(AND('Project Register'!E374&lt;&gt;"",'Project Register'!F374&lt;&gt;"",'Project Register'!F374&lt;'Project Register'!E374),"End before start. ","")&amp;IF(NOT(ISNUMBER('Project Register'!G374)),"Effort missing. ","")&amp;IF(D374=0,"No resource. ","")&amp;IF(AND('Project Register'!H374&lt;&gt;"",'Project Register'!I374=""),"Role 1 missing. ","")&amp;IF(AND('Project Register'!J374&lt;&gt;"",'Project Register'!K374=""),"Role 2 missing. ","")&amp;IF(AND('Project Register'!L374&lt;&gt;"",'Project Register'!M374=""),"Role 3 missing. ","")&amp;IF(OR(AND('Project Register'!H374&lt;&gt;"",'Project Register'!H374='Project Register'!J374),AND('Project Register'!H374&lt;&gt;"",'Project Register'!H374='Project Register'!L374),AND('Project Register'!J374&lt;&gt;"",'Project Register'!J374='Project Register'!L374)),"Same person listed twice. ","")&amp;IF(AND('Project Register'!H374&lt;&gt;"",COUNTIF(Resources!$A$2:$A$51,'Project Register'!H374)=0),"Resource 1 not in Resources sheet. ","")&amp;IF(AND('Project Register'!J374&lt;&gt;"",COUNTIF(Resources!$A$2:$A$51,'Project Register'!J374)=0),"Resource 2 not in Resources sheet. ","")&amp;IF(AND('Project Register'!L374&lt;&gt;"",COUNTIF(Resources!$A$2:$A$51,'Project Register'!L374)=0),"Resource 3 not in Resources sheet. ","")&amp;IF('Project Register'!O374="","Test Status missing. ","")&amp;IF(AND(ISNUMBER(E374),E374&gt;1),"This task alone needs over 100% per person. ","")&amp;IF(AND('Project Register'!Q374="Deployed in Live",'Project Register'!R374=""),"Release Date blank (import date will be used). ","")))</f>
        <v/>
      </c>
      <c r="G374" s="17" t="str">
        <f aca="false">IF('Project Register'!$A374="","",IF(F374="","OK","Check"))</f>
        <v/>
      </c>
    </row>
    <row r="375" customFormat="false" ht="15" hidden="false" customHeight="false" outlineLevel="0" collapsed="false">
      <c r="A375" s="15" t="str">
        <f aca="false">IF('Project Register'!$A375="","",ROW('Project Register'!A375))</f>
        <v/>
      </c>
      <c r="B375" s="15" t="str">
        <f aca="false">IF('Project Register'!$A375="","",'Project Register'!B375)</f>
        <v/>
      </c>
      <c r="C375" s="15" t="str">
        <f aca="false">IF('Project Register'!$A375="","",IF(OR('Project Register'!E375="",'Project Register'!F375=""),"",IF('Project Register'!F375&lt;'Project Register'!E375,0,NETWORKDAYS.INTL('Project Register'!E375,'Project Register'!F375,"0000110",Holidays_Leave!$A$3:$A$62))))</f>
        <v/>
      </c>
      <c r="D375" s="15" t="str">
        <f aca="false">IF('Project Register'!$A375="","",('Project Register'!H375&lt;&gt;"")+('Project Register'!J375&lt;&gt;"")+('Project Register'!L375&lt;&gt;""))</f>
        <v/>
      </c>
      <c r="E375" s="16" t="str">
        <f aca="false">IF(OR(C375="",D375="",'Project Register'!G375=""),"",IF(OR(C375=0,D375=0),"",'Project Register'!G375/(C375*D375)))</f>
        <v/>
      </c>
      <c r="F375" s="15" t="str">
        <f aca="false">IF('Project Register'!$A375="","",TRIM(IF(OR('Project Register'!E375="",'Project Register'!F375=""),"Missing date. ","")&amp;IF(AND('Project Register'!E375&lt;&gt;"",'Project Register'!F375&lt;&gt;"",'Project Register'!F375&lt;'Project Register'!E375),"End before start. ","")&amp;IF(NOT(ISNUMBER('Project Register'!G375)),"Effort missing. ","")&amp;IF(D375=0,"No resource. ","")&amp;IF(AND('Project Register'!H375&lt;&gt;"",'Project Register'!I375=""),"Role 1 missing. ","")&amp;IF(AND('Project Register'!J375&lt;&gt;"",'Project Register'!K375=""),"Role 2 missing. ","")&amp;IF(AND('Project Register'!L375&lt;&gt;"",'Project Register'!M375=""),"Role 3 missing. ","")&amp;IF(OR(AND('Project Register'!H375&lt;&gt;"",'Project Register'!H375='Project Register'!J375),AND('Project Register'!H375&lt;&gt;"",'Project Register'!H375='Project Register'!L375),AND('Project Register'!J375&lt;&gt;"",'Project Register'!J375='Project Register'!L375)),"Same person listed twice. ","")&amp;IF(AND('Project Register'!H375&lt;&gt;"",COUNTIF(Resources!$A$2:$A$51,'Project Register'!H375)=0),"Resource 1 not in Resources sheet. ","")&amp;IF(AND('Project Register'!J375&lt;&gt;"",COUNTIF(Resources!$A$2:$A$51,'Project Register'!J375)=0),"Resource 2 not in Resources sheet. ","")&amp;IF(AND('Project Register'!L375&lt;&gt;"",COUNTIF(Resources!$A$2:$A$51,'Project Register'!L375)=0),"Resource 3 not in Resources sheet. ","")&amp;IF('Project Register'!O375="","Test Status missing. ","")&amp;IF(AND(ISNUMBER(E375),E375&gt;1),"This task alone needs over 100% per person. ","")&amp;IF(AND('Project Register'!Q375="Deployed in Live",'Project Register'!R375=""),"Release Date blank (import date will be used). ","")))</f>
        <v/>
      </c>
      <c r="G375" s="17" t="str">
        <f aca="false">IF('Project Register'!$A375="","",IF(F375="","OK","Check"))</f>
        <v/>
      </c>
    </row>
    <row r="376" customFormat="false" ht="15" hidden="false" customHeight="false" outlineLevel="0" collapsed="false">
      <c r="A376" s="15" t="str">
        <f aca="false">IF('Project Register'!$A376="","",ROW('Project Register'!A376))</f>
        <v/>
      </c>
      <c r="B376" s="15" t="str">
        <f aca="false">IF('Project Register'!$A376="","",'Project Register'!B376)</f>
        <v/>
      </c>
      <c r="C376" s="15" t="str">
        <f aca="false">IF('Project Register'!$A376="","",IF(OR('Project Register'!E376="",'Project Register'!F376=""),"",IF('Project Register'!F376&lt;'Project Register'!E376,0,NETWORKDAYS.INTL('Project Register'!E376,'Project Register'!F376,"0000110",Holidays_Leave!$A$3:$A$62))))</f>
        <v/>
      </c>
      <c r="D376" s="15" t="str">
        <f aca="false">IF('Project Register'!$A376="","",('Project Register'!H376&lt;&gt;"")+('Project Register'!J376&lt;&gt;"")+('Project Register'!L376&lt;&gt;""))</f>
        <v/>
      </c>
      <c r="E376" s="16" t="str">
        <f aca="false">IF(OR(C376="",D376="",'Project Register'!G376=""),"",IF(OR(C376=0,D376=0),"",'Project Register'!G376/(C376*D376)))</f>
        <v/>
      </c>
      <c r="F376" s="15" t="str">
        <f aca="false">IF('Project Register'!$A376="","",TRIM(IF(OR('Project Register'!E376="",'Project Register'!F376=""),"Missing date. ","")&amp;IF(AND('Project Register'!E376&lt;&gt;"",'Project Register'!F376&lt;&gt;"",'Project Register'!F376&lt;'Project Register'!E376),"End before start. ","")&amp;IF(NOT(ISNUMBER('Project Register'!G376)),"Effort missing. ","")&amp;IF(D376=0,"No resource. ","")&amp;IF(AND('Project Register'!H376&lt;&gt;"",'Project Register'!I376=""),"Role 1 missing. ","")&amp;IF(AND('Project Register'!J376&lt;&gt;"",'Project Register'!K376=""),"Role 2 missing. ","")&amp;IF(AND('Project Register'!L376&lt;&gt;"",'Project Register'!M376=""),"Role 3 missing. ","")&amp;IF(OR(AND('Project Register'!H376&lt;&gt;"",'Project Register'!H376='Project Register'!J376),AND('Project Register'!H376&lt;&gt;"",'Project Register'!H376='Project Register'!L376),AND('Project Register'!J376&lt;&gt;"",'Project Register'!J376='Project Register'!L376)),"Same person listed twice. ","")&amp;IF(AND('Project Register'!H376&lt;&gt;"",COUNTIF(Resources!$A$2:$A$51,'Project Register'!H376)=0),"Resource 1 not in Resources sheet. ","")&amp;IF(AND('Project Register'!J376&lt;&gt;"",COUNTIF(Resources!$A$2:$A$51,'Project Register'!J376)=0),"Resource 2 not in Resources sheet. ","")&amp;IF(AND('Project Register'!L376&lt;&gt;"",COUNTIF(Resources!$A$2:$A$51,'Project Register'!L376)=0),"Resource 3 not in Resources sheet. ","")&amp;IF('Project Register'!O376="","Test Status missing. ","")&amp;IF(AND(ISNUMBER(E376),E376&gt;1),"This task alone needs over 100% per person. ","")&amp;IF(AND('Project Register'!Q376="Deployed in Live",'Project Register'!R376=""),"Release Date blank (import date will be used). ","")))</f>
        <v/>
      </c>
      <c r="G376" s="17" t="str">
        <f aca="false">IF('Project Register'!$A376="","",IF(F376="","OK","Check"))</f>
        <v/>
      </c>
    </row>
    <row r="377" customFormat="false" ht="15" hidden="false" customHeight="false" outlineLevel="0" collapsed="false">
      <c r="A377" s="15" t="str">
        <f aca="false">IF('Project Register'!$A377="","",ROW('Project Register'!A377))</f>
        <v/>
      </c>
      <c r="B377" s="15" t="str">
        <f aca="false">IF('Project Register'!$A377="","",'Project Register'!B377)</f>
        <v/>
      </c>
      <c r="C377" s="15" t="str">
        <f aca="false">IF('Project Register'!$A377="","",IF(OR('Project Register'!E377="",'Project Register'!F377=""),"",IF('Project Register'!F377&lt;'Project Register'!E377,0,NETWORKDAYS.INTL('Project Register'!E377,'Project Register'!F377,"0000110",Holidays_Leave!$A$3:$A$62))))</f>
        <v/>
      </c>
      <c r="D377" s="15" t="str">
        <f aca="false">IF('Project Register'!$A377="","",('Project Register'!H377&lt;&gt;"")+('Project Register'!J377&lt;&gt;"")+('Project Register'!L377&lt;&gt;""))</f>
        <v/>
      </c>
      <c r="E377" s="16" t="str">
        <f aca="false">IF(OR(C377="",D377="",'Project Register'!G377=""),"",IF(OR(C377=0,D377=0),"",'Project Register'!G377/(C377*D377)))</f>
        <v/>
      </c>
      <c r="F377" s="15" t="str">
        <f aca="false">IF('Project Register'!$A377="","",TRIM(IF(OR('Project Register'!E377="",'Project Register'!F377=""),"Missing date. ","")&amp;IF(AND('Project Register'!E377&lt;&gt;"",'Project Register'!F377&lt;&gt;"",'Project Register'!F377&lt;'Project Register'!E377),"End before start. ","")&amp;IF(NOT(ISNUMBER('Project Register'!G377)),"Effort missing. ","")&amp;IF(D377=0,"No resource. ","")&amp;IF(AND('Project Register'!H377&lt;&gt;"",'Project Register'!I377=""),"Role 1 missing. ","")&amp;IF(AND('Project Register'!J377&lt;&gt;"",'Project Register'!K377=""),"Role 2 missing. ","")&amp;IF(AND('Project Register'!L377&lt;&gt;"",'Project Register'!M377=""),"Role 3 missing. ","")&amp;IF(OR(AND('Project Register'!H377&lt;&gt;"",'Project Register'!H377='Project Register'!J377),AND('Project Register'!H377&lt;&gt;"",'Project Register'!H377='Project Register'!L377),AND('Project Register'!J377&lt;&gt;"",'Project Register'!J377='Project Register'!L377)),"Same person listed twice. ","")&amp;IF(AND('Project Register'!H377&lt;&gt;"",COUNTIF(Resources!$A$2:$A$51,'Project Register'!H377)=0),"Resource 1 not in Resources sheet. ","")&amp;IF(AND('Project Register'!J377&lt;&gt;"",COUNTIF(Resources!$A$2:$A$51,'Project Register'!J377)=0),"Resource 2 not in Resources sheet. ","")&amp;IF(AND('Project Register'!L377&lt;&gt;"",COUNTIF(Resources!$A$2:$A$51,'Project Register'!L377)=0),"Resource 3 not in Resources sheet. ","")&amp;IF('Project Register'!O377="","Test Status missing. ","")&amp;IF(AND(ISNUMBER(E377),E377&gt;1),"This task alone needs over 100% per person. ","")&amp;IF(AND('Project Register'!Q377="Deployed in Live",'Project Register'!R377=""),"Release Date blank (import date will be used). ","")))</f>
        <v/>
      </c>
      <c r="G377" s="17" t="str">
        <f aca="false">IF('Project Register'!$A377="","",IF(F377="","OK","Check"))</f>
        <v/>
      </c>
    </row>
    <row r="378" customFormat="false" ht="15" hidden="false" customHeight="false" outlineLevel="0" collapsed="false">
      <c r="A378" s="15" t="str">
        <f aca="false">IF('Project Register'!$A378="","",ROW('Project Register'!A378))</f>
        <v/>
      </c>
      <c r="B378" s="15" t="str">
        <f aca="false">IF('Project Register'!$A378="","",'Project Register'!B378)</f>
        <v/>
      </c>
      <c r="C378" s="15" t="str">
        <f aca="false">IF('Project Register'!$A378="","",IF(OR('Project Register'!E378="",'Project Register'!F378=""),"",IF('Project Register'!F378&lt;'Project Register'!E378,0,NETWORKDAYS.INTL('Project Register'!E378,'Project Register'!F378,"0000110",Holidays_Leave!$A$3:$A$62))))</f>
        <v/>
      </c>
      <c r="D378" s="15" t="str">
        <f aca="false">IF('Project Register'!$A378="","",('Project Register'!H378&lt;&gt;"")+('Project Register'!J378&lt;&gt;"")+('Project Register'!L378&lt;&gt;""))</f>
        <v/>
      </c>
      <c r="E378" s="16" t="str">
        <f aca="false">IF(OR(C378="",D378="",'Project Register'!G378=""),"",IF(OR(C378=0,D378=0),"",'Project Register'!G378/(C378*D378)))</f>
        <v/>
      </c>
      <c r="F378" s="15" t="str">
        <f aca="false">IF('Project Register'!$A378="","",TRIM(IF(OR('Project Register'!E378="",'Project Register'!F378=""),"Missing date. ","")&amp;IF(AND('Project Register'!E378&lt;&gt;"",'Project Register'!F378&lt;&gt;"",'Project Register'!F378&lt;'Project Register'!E378),"End before start. ","")&amp;IF(NOT(ISNUMBER('Project Register'!G378)),"Effort missing. ","")&amp;IF(D378=0,"No resource. ","")&amp;IF(AND('Project Register'!H378&lt;&gt;"",'Project Register'!I378=""),"Role 1 missing. ","")&amp;IF(AND('Project Register'!J378&lt;&gt;"",'Project Register'!K378=""),"Role 2 missing. ","")&amp;IF(AND('Project Register'!L378&lt;&gt;"",'Project Register'!M378=""),"Role 3 missing. ","")&amp;IF(OR(AND('Project Register'!H378&lt;&gt;"",'Project Register'!H378='Project Register'!J378),AND('Project Register'!H378&lt;&gt;"",'Project Register'!H378='Project Register'!L378),AND('Project Register'!J378&lt;&gt;"",'Project Register'!J378='Project Register'!L378)),"Same person listed twice. ","")&amp;IF(AND('Project Register'!H378&lt;&gt;"",COUNTIF(Resources!$A$2:$A$51,'Project Register'!H378)=0),"Resource 1 not in Resources sheet. ","")&amp;IF(AND('Project Register'!J378&lt;&gt;"",COUNTIF(Resources!$A$2:$A$51,'Project Register'!J378)=0),"Resource 2 not in Resources sheet. ","")&amp;IF(AND('Project Register'!L378&lt;&gt;"",COUNTIF(Resources!$A$2:$A$51,'Project Register'!L378)=0),"Resource 3 not in Resources sheet. ","")&amp;IF('Project Register'!O378="","Test Status missing. ","")&amp;IF(AND(ISNUMBER(E378),E378&gt;1),"This task alone needs over 100% per person. ","")&amp;IF(AND('Project Register'!Q378="Deployed in Live",'Project Register'!R378=""),"Release Date blank (import date will be used). ","")))</f>
        <v/>
      </c>
      <c r="G378" s="17" t="str">
        <f aca="false">IF('Project Register'!$A378="","",IF(F378="","OK","Check"))</f>
        <v/>
      </c>
    </row>
    <row r="379" customFormat="false" ht="15" hidden="false" customHeight="false" outlineLevel="0" collapsed="false">
      <c r="A379" s="15" t="str">
        <f aca="false">IF('Project Register'!$A379="","",ROW('Project Register'!A379))</f>
        <v/>
      </c>
      <c r="B379" s="15" t="str">
        <f aca="false">IF('Project Register'!$A379="","",'Project Register'!B379)</f>
        <v/>
      </c>
      <c r="C379" s="15" t="str">
        <f aca="false">IF('Project Register'!$A379="","",IF(OR('Project Register'!E379="",'Project Register'!F379=""),"",IF('Project Register'!F379&lt;'Project Register'!E379,0,NETWORKDAYS.INTL('Project Register'!E379,'Project Register'!F379,"0000110",Holidays_Leave!$A$3:$A$62))))</f>
        <v/>
      </c>
      <c r="D379" s="15" t="str">
        <f aca="false">IF('Project Register'!$A379="","",('Project Register'!H379&lt;&gt;"")+('Project Register'!J379&lt;&gt;"")+('Project Register'!L379&lt;&gt;""))</f>
        <v/>
      </c>
      <c r="E379" s="16" t="str">
        <f aca="false">IF(OR(C379="",D379="",'Project Register'!G379=""),"",IF(OR(C379=0,D379=0),"",'Project Register'!G379/(C379*D379)))</f>
        <v/>
      </c>
      <c r="F379" s="15" t="str">
        <f aca="false">IF('Project Register'!$A379="","",TRIM(IF(OR('Project Register'!E379="",'Project Register'!F379=""),"Missing date. ","")&amp;IF(AND('Project Register'!E379&lt;&gt;"",'Project Register'!F379&lt;&gt;"",'Project Register'!F379&lt;'Project Register'!E379),"End before start. ","")&amp;IF(NOT(ISNUMBER('Project Register'!G379)),"Effort missing. ","")&amp;IF(D379=0,"No resource. ","")&amp;IF(AND('Project Register'!H379&lt;&gt;"",'Project Register'!I379=""),"Role 1 missing. ","")&amp;IF(AND('Project Register'!J379&lt;&gt;"",'Project Register'!K379=""),"Role 2 missing. ","")&amp;IF(AND('Project Register'!L379&lt;&gt;"",'Project Register'!M379=""),"Role 3 missing. ","")&amp;IF(OR(AND('Project Register'!H379&lt;&gt;"",'Project Register'!H379='Project Register'!J379),AND('Project Register'!H379&lt;&gt;"",'Project Register'!H379='Project Register'!L379),AND('Project Register'!J379&lt;&gt;"",'Project Register'!J379='Project Register'!L379)),"Same person listed twice. ","")&amp;IF(AND('Project Register'!H379&lt;&gt;"",COUNTIF(Resources!$A$2:$A$51,'Project Register'!H379)=0),"Resource 1 not in Resources sheet. ","")&amp;IF(AND('Project Register'!J379&lt;&gt;"",COUNTIF(Resources!$A$2:$A$51,'Project Register'!J379)=0),"Resource 2 not in Resources sheet. ","")&amp;IF(AND('Project Register'!L379&lt;&gt;"",COUNTIF(Resources!$A$2:$A$51,'Project Register'!L379)=0),"Resource 3 not in Resources sheet. ","")&amp;IF('Project Register'!O379="","Test Status missing. ","")&amp;IF(AND(ISNUMBER(E379),E379&gt;1),"This task alone needs over 100% per person. ","")&amp;IF(AND('Project Register'!Q379="Deployed in Live",'Project Register'!R379=""),"Release Date blank (import date will be used). ","")))</f>
        <v/>
      </c>
      <c r="G379" s="17" t="str">
        <f aca="false">IF('Project Register'!$A379="","",IF(F379="","OK","Check"))</f>
        <v/>
      </c>
    </row>
    <row r="380" customFormat="false" ht="15" hidden="false" customHeight="false" outlineLevel="0" collapsed="false">
      <c r="A380" s="15" t="str">
        <f aca="false">IF('Project Register'!$A380="","",ROW('Project Register'!A380))</f>
        <v/>
      </c>
      <c r="B380" s="15" t="str">
        <f aca="false">IF('Project Register'!$A380="","",'Project Register'!B380)</f>
        <v/>
      </c>
      <c r="C380" s="15" t="str">
        <f aca="false">IF('Project Register'!$A380="","",IF(OR('Project Register'!E380="",'Project Register'!F380=""),"",IF('Project Register'!F380&lt;'Project Register'!E380,0,NETWORKDAYS.INTL('Project Register'!E380,'Project Register'!F380,"0000110",Holidays_Leave!$A$3:$A$62))))</f>
        <v/>
      </c>
      <c r="D380" s="15" t="str">
        <f aca="false">IF('Project Register'!$A380="","",('Project Register'!H380&lt;&gt;"")+('Project Register'!J380&lt;&gt;"")+('Project Register'!L380&lt;&gt;""))</f>
        <v/>
      </c>
      <c r="E380" s="16" t="str">
        <f aca="false">IF(OR(C380="",D380="",'Project Register'!G380=""),"",IF(OR(C380=0,D380=0),"",'Project Register'!G380/(C380*D380)))</f>
        <v/>
      </c>
      <c r="F380" s="15" t="str">
        <f aca="false">IF('Project Register'!$A380="","",TRIM(IF(OR('Project Register'!E380="",'Project Register'!F380=""),"Missing date. ","")&amp;IF(AND('Project Register'!E380&lt;&gt;"",'Project Register'!F380&lt;&gt;"",'Project Register'!F380&lt;'Project Register'!E380),"End before start. ","")&amp;IF(NOT(ISNUMBER('Project Register'!G380)),"Effort missing. ","")&amp;IF(D380=0,"No resource. ","")&amp;IF(AND('Project Register'!H380&lt;&gt;"",'Project Register'!I380=""),"Role 1 missing. ","")&amp;IF(AND('Project Register'!J380&lt;&gt;"",'Project Register'!K380=""),"Role 2 missing. ","")&amp;IF(AND('Project Register'!L380&lt;&gt;"",'Project Register'!M380=""),"Role 3 missing. ","")&amp;IF(OR(AND('Project Register'!H380&lt;&gt;"",'Project Register'!H380='Project Register'!J380),AND('Project Register'!H380&lt;&gt;"",'Project Register'!H380='Project Register'!L380),AND('Project Register'!J380&lt;&gt;"",'Project Register'!J380='Project Register'!L380)),"Same person listed twice. ","")&amp;IF(AND('Project Register'!H380&lt;&gt;"",COUNTIF(Resources!$A$2:$A$51,'Project Register'!H380)=0),"Resource 1 not in Resources sheet. ","")&amp;IF(AND('Project Register'!J380&lt;&gt;"",COUNTIF(Resources!$A$2:$A$51,'Project Register'!J380)=0),"Resource 2 not in Resources sheet. ","")&amp;IF(AND('Project Register'!L380&lt;&gt;"",COUNTIF(Resources!$A$2:$A$51,'Project Register'!L380)=0),"Resource 3 not in Resources sheet. ","")&amp;IF('Project Register'!O380="","Test Status missing. ","")&amp;IF(AND(ISNUMBER(E380),E380&gt;1),"This task alone needs over 100% per person. ","")&amp;IF(AND('Project Register'!Q380="Deployed in Live",'Project Register'!R380=""),"Release Date blank (import date will be used). ","")))</f>
        <v/>
      </c>
      <c r="G380" s="17" t="str">
        <f aca="false">IF('Project Register'!$A380="","",IF(F380="","OK","Check"))</f>
        <v/>
      </c>
    </row>
    <row r="381" customFormat="false" ht="15" hidden="false" customHeight="false" outlineLevel="0" collapsed="false">
      <c r="A381" s="15" t="str">
        <f aca="false">IF('Project Register'!$A381="","",ROW('Project Register'!A381))</f>
        <v/>
      </c>
      <c r="B381" s="15" t="str">
        <f aca="false">IF('Project Register'!$A381="","",'Project Register'!B381)</f>
        <v/>
      </c>
      <c r="C381" s="15" t="str">
        <f aca="false">IF('Project Register'!$A381="","",IF(OR('Project Register'!E381="",'Project Register'!F381=""),"",IF('Project Register'!F381&lt;'Project Register'!E381,0,NETWORKDAYS.INTL('Project Register'!E381,'Project Register'!F381,"0000110",Holidays_Leave!$A$3:$A$62))))</f>
        <v/>
      </c>
      <c r="D381" s="15" t="str">
        <f aca="false">IF('Project Register'!$A381="","",('Project Register'!H381&lt;&gt;"")+('Project Register'!J381&lt;&gt;"")+('Project Register'!L381&lt;&gt;""))</f>
        <v/>
      </c>
      <c r="E381" s="16" t="str">
        <f aca="false">IF(OR(C381="",D381="",'Project Register'!G381=""),"",IF(OR(C381=0,D381=0),"",'Project Register'!G381/(C381*D381)))</f>
        <v/>
      </c>
      <c r="F381" s="15" t="str">
        <f aca="false">IF('Project Register'!$A381="","",TRIM(IF(OR('Project Register'!E381="",'Project Register'!F381=""),"Missing date. ","")&amp;IF(AND('Project Register'!E381&lt;&gt;"",'Project Register'!F381&lt;&gt;"",'Project Register'!F381&lt;'Project Register'!E381),"End before start. ","")&amp;IF(NOT(ISNUMBER('Project Register'!G381)),"Effort missing. ","")&amp;IF(D381=0,"No resource. ","")&amp;IF(AND('Project Register'!H381&lt;&gt;"",'Project Register'!I381=""),"Role 1 missing. ","")&amp;IF(AND('Project Register'!J381&lt;&gt;"",'Project Register'!K381=""),"Role 2 missing. ","")&amp;IF(AND('Project Register'!L381&lt;&gt;"",'Project Register'!M381=""),"Role 3 missing. ","")&amp;IF(OR(AND('Project Register'!H381&lt;&gt;"",'Project Register'!H381='Project Register'!J381),AND('Project Register'!H381&lt;&gt;"",'Project Register'!H381='Project Register'!L381),AND('Project Register'!J381&lt;&gt;"",'Project Register'!J381='Project Register'!L381)),"Same person listed twice. ","")&amp;IF(AND('Project Register'!H381&lt;&gt;"",COUNTIF(Resources!$A$2:$A$51,'Project Register'!H381)=0),"Resource 1 not in Resources sheet. ","")&amp;IF(AND('Project Register'!J381&lt;&gt;"",COUNTIF(Resources!$A$2:$A$51,'Project Register'!J381)=0),"Resource 2 not in Resources sheet. ","")&amp;IF(AND('Project Register'!L381&lt;&gt;"",COUNTIF(Resources!$A$2:$A$51,'Project Register'!L381)=0),"Resource 3 not in Resources sheet. ","")&amp;IF('Project Register'!O381="","Test Status missing. ","")&amp;IF(AND(ISNUMBER(E381),E381&gt;1),"This task alone needs over 100% per person. ","")&amp;IF(AND('Project Register'!Q381="Deployed in Live",'Project Register'!R381=""),"Release Date blank (import date will be used). ","")))</f>
        <v/>
      </c>
      <c r="G381" s="17" t="str">
        <f aca="false">IF('Project Register'!$A381="","",IF(F381="","OK","Check"))</f>
        <v/>
      </c>
    </row>
    <row r="382" customFormat="false" ht="15" hidden="false" customHeight="false" outlineLevel="0" collapsed="false">
      <c r="A382" s="15" t="str">
        <f aca="false">IF('Project Register'!$A382="","",ROW('Project Register'!A382))</f>
        <v/>
      </c>
      <c r="B382" s="15" t="str">
        <f aca="false">IF('Project Register'!$A382="","",'Project Register'!B382)</f>
        <v/>
      </c>
      <c r="C382" s="15" t="str">
        <f aca="false">IF('Project Register'!$A382="","",IF(OR('Project Register'!E382="",'Project Register'!F382=""),"",IF('Project Register'!F382&lt;'Project Register'!E382,0,NETWORKDAYS.INTL('Project Register'!E382,'Project Register'!F382,"0000110",Holidays_Leave!$A$3:$A$62))))</f>
        <v/>
      </c>
      <c r="D382" s="15" t="str">
        <f aca="false">IF('Project Register'!$A382="","",('Project Register'!H382&lt;&gt;"")+('Project Register'!J382&lt;&gt;"")+('Project Register'!L382&lt;&gt;""))</f>
        <v/>
      </c>
      <c r="E382" s="16" t="str">
        <f aca="false">IF(OR(C382="",D382="",'Project Register'!G382=""),"",IF(OR(C382=0,D382=0),"",'Project Register'!G382/(C382*D382)))</f>
        <v/>
      </c>
      <c r="F382" s="15" t="str">
        <f aca="false">IF('Project Register'!$A382="","",TRIM(IF(OR('Project Register'!E382="",'Project Register'!F382=""),"Missing date. ","")&amp;IF(AND('Project Register'!E382&lt;&gt;"",'Project Register'!F382&lt;&gt;"",'Project Register'!F382&lt;'Project Register'!E382),"End before start. ","")&amp;IF(NOT(ISNUMBER('Project Register'!G382)),"Effort missing. ","")&amp;IF(D382=0,"No resource. ","")&amp;IF(AND('Project Register'!H382&lt;&gt;"",'Project Register'!I382=""),"Role 1 missing. ","")&amp;IF(AND('Project Register'!J382&lt;&gt;"",'Project Register'!K382=""),"Role 2 missing. ","")&amp;IF(AND('Project Register'!L382&lt;&gt;"",'Project Register'!M382=""),"Role 3 missing. ","")&amp;IF(OR(AND('Project Register'!H382&lt;&gt;"",'Project Register'!H382='Project Register'!J382),AND('Project Register'!H382&lt;&gt;"",'Project Register'!H382='Project Register'!L382),AND('Project Register'!J382&lt;&gt;"",'Project Register'!J382='Project Register'!L382)),"Same person listed twice. ","")&amp;IF(AND('Project Register'!H382&lt;&gt;"",COUNTIF(Resources!$A$2:$A$51,'Project Register'!H382)=0),"Resource 1 not in Resources sheet. ","")&amp;IF(AND('Project Register'!J382&lt;&gt;"",COUNTIF(Resources!$A$2:$A$51,'Project Register'!J382)=0),"Resource 2 not in Resources sheet. ","")&amp;IF(AND('Project Register'!L382&lt;&gt;"",COUNTIF(Resources!$A$2:$A$51,'Project Register'!L382)=0),"Resource 3 not in Resources sheet. ","")&amp;IF('Project Register'!O382="","Test Status missing. ","")&amp;IF(AND(ISNUMBER(E382),E382&gt;1),"This task alone needs over 100% per person. ","")&amp;IF(AND('Project Register'!Q382="Deployed in Live",'Project Register'!R382=""),"Release Date blank (import date will be used). ","")))</f>
        <v/>
      </c>
      <c r="G382" s="17" t="str">
        <f aca="false">IF('Project Register'!$A382="","",IF(F382="","OK","Check"))</f>
        <v/>
      </c>
    </row>
    <row r="383" customFormat="false" ht="15" hidden="false" customHeight="false" outlineLevel="0" collapsed="false">
      <c r="A383" s="15" t="str">
        <f aca="false">IF('Project Register'!$A383="","",ROW('Project Register'!A383))</f>
        <v/>
      </c>
      <c r="B383" s="15" t="str">
        <f aca="false">IF('Project Register'!$A383="","",'Project Register'!B383)</f>
        <v/>
      </c>
      <c r="C383" s="15" t="str">
        <f aca="false">IF('Project Register'!$A383="","",IF(OR('Project Register'!E383="",'Project Register'!F383=""),"",IF('Project Register'!F383&lt;'Project Register'!E383,0,NETWORKDAYS.INTL('Project Register'!E383,'Project Register'!F383,"0000110",Holidays_Leave!$A$3:$A$62))))</f>
        <v/>
      </c>
      <c r="D383" s="15" t="str">
        <f aca="false">IF('Project Register'!$A383="","",('Project Register'!H383&lt;&gt;"")+('Project Register'!J383&lt;&gt;"")+('Project Register'!L383&lt;&gt;""))</f>
        <v/>
      </c>
      <c r="E383" s="16" t="str">
        <f aca="false">IF(OR(C383="",D383="",'Project Register'!G383=""),"",IF(OR(C383=0,D383=0),"",'Project Register'!G383/(C383*D383)))</f>
        <v/>
      </c>
      <c r="F383" s="15" t="str">
        <f aca="false">IF('Project Register'!$A383="","",TRIM(IF(OR('Project Register'!E383="",'Project Register'!F383=""),"Missing date. ","")&amp;IF(AND('Project Register'!E383&lt;&gt;"",'Project Register'!F383&lt;&gt;"",'Project Register'!F383&lt;'Project Register'!E383),"End before start. ","")&amp;IF(NOT(ISNUMBER('Project Register'!G383)),"Effort missing. ","")&amp;IF(D383=0,"No resource. ","")&amp;IF(AND('Project Register'!H383&lt;&gt;"",'Project Register'!I383=""),"Role 1 missing. ","")&amp;IF(AND('Project Register'!J383&lt;&gt;"",'Project Register'!K383=""),"Role 2 missing. ","")&amp;IF(AND('Project Register'!L383&lt;&gt;"",'Project Register'!M383=""),"Role 3 missing. ","")&amp;IF(OR(AND('Project Register'!H383&lt;&gt;"",'Project Register'!H383='Project Register'!J383),AND('Project Register'!H383&lt;&gt;"",'Project Register'!H383='Project Register'!L383),AND('Project Register'!J383&lt;&gt;"",'Project Register'!J383='Project Register'!L383)),"Same person listed twice. ","")&amp;IF(AND('Project Register'!H383&lt;&gt;"",COUNTIF(Resources!$A$2:$A$51,'Project Register'!H383)=0),"Resource 1 not in Resources sheet. ","")&amp;IF(AND('Project Register'!J383&lt;&gt;"",COUNTIF(Resources!$A$2:$A$51,'Project Register'!J383)=0),"Resource 2 not in Resources sheet. ","")&amp;IF(AND('Project Register'!L383&lt;&gt;"",COUNTIF(Resources!$A$2:$A$51,'Project Register'!L383)=0),"Resource 3 not in Resources sheet. ","")&amp;IF('Project Register'!O383="","Test Status missing. ","")&amp;IF(AND(ISNUMBER(E383),E383&gt;1),"This task alone needs over 100% per person. ","")&amp;IF(AND('Project Register'!Q383="Deployed in Live",'Project Register'!R383=""),"Release Date blank (import date will be used). ","")))</f>
        <v/>
      </c>
      <c r="G383" s="17" t="str">
        <f aca="false">IF('Project Register'!$A383="","",IF(F383="","OK","Check"))</f>
        <v/>
      </c>
    </row>
    <row r="384" customFormat="false" ht="15" hidden="false" customHeight="false" outlineLevel="0" collapsed="false">
      <c r="A384" s="15" t="str">
        <f aca="false">IF('Project Register'!$A384="","",ROW('Project Register'!A384))</f>
        <v/>
      </c>
      <c r="B384" s="15" t="str">
        <f aca="false">IF('Project Register'!$A384="","",'Project Register'!B384)</f>
        <v/>
      </c>
      <c r="C384" s="15" t="str">
        <f aca="false">IF('Project Register'!$A384="","",IF(OR('Project Register'!E384="",'Project Register'!F384=""),"",IF('Project Register'!F384&lt;'Project Register'!E384,0,NETWORKDAYS.INTL('Project Register'!E384,'Project Register'!F384,"0000110",Holidays_Leave!$A$3:$A$62))))</f>
        <v/>
      </c>
      <c r="D384" s="15" t="str">
        <f aca="false">IF('Project Register'!$A384="","",('Project Register'!H384&lt;&gt;"")+('Project Register'!J384&lt;&gt;"")+('Project Register'!L384&lt;&gt;""))</f>
        <v/>
      </c>
      <c r="E384" s="16" t="str">
        <f aca="false">IF(OR(C384="",D384="",'Project Register'!G384=""),"",IF(OR(C384=0,D384=0),"",'Project Register'!G384/(C384*D384)))</f>
        <v/>
      </c>
      <c r="F384" s="15" t="str">
        <f aca="false">IF('Project Register'!$A384="","",TRIM(IF(OR('Project Register'!E384="",'Project Register'!F384=""),"Missing date. ","")&amp;IF(AND('Project Register'!E384&lt;&gt;"",'Project Register'!F384&lt;&gt;"",'Project Register'!F384&lt;'Project Register'!E384),"End before start. ","")&amp;IF(NOT(ISNUMBER('Project Register'!G384)),"Effort missing. ","")&amp;IF(D384=0,"No resource. ","")&amp;IF(AND('Project Register'!H384&lt;&gt;"",'Project Register'!I384=""),"Role 1 missing. ","")&amp;IF(AND('Project Register'!J384&lt;&gt;"",'Project Register'!K384=""),"Role 2 missing. ","")&amp;IF(AND('Project Register'!L384&lt;&gt;"",'Project Register'!M384=""),"Role 3 missing. ","")&amp;IF(OR(AND('Project Register'!H384&lt;&gt;"",'Project Register'!H384='Project Register'!J384),AND('Project Register'!H384&lt;&gt;"",'Project Register'!H384='Project Register'!L384),AND('Project Register'!J384&lt;&gt;"",'Project Register'!J384='Project Register'!L384)),"Same person listed twice. ","")&amp;IF(AND('Project Register'!H384&lt;&gt;"",COUNTIF(Resources!$A$2:$A$51,'Project Register'!H384)=0),"Resource 1 not in Resources sheet. ","")&amp;IF(AND('Project Register'!J384&lt;&gt;"",COUNTIF(Resources!$A$2:$A$51,'Project Register'!J384)=0),"Resource 2 not in Resources sheet. ","")&amp;IF(AND('Project Register'!L384&lt;&gt;"",COUNTIF(Resources!$A$2:$A$51,'Project Register'!L384)=0),"Resource 3 not in Resources sheet. ","")&amp;IF('Project Register'!O384="","Test Status missing. ","")&amp;IF(AND(ISNUMBER(E384),E384&gt;1),"This task alone needs over 100% per person. ","")&amp;IF(AND('Project Register'!Q384="Deployed in Live",'Project Register'!R384=""),"Release Date blank (import date will be used). ","")))</f>
        <v/>
      </c>
      <c r="G384" s="17" t="str">
        <f aca="false">IF('Project Register'!$A384="","",IF(F384="","OK","Check"))</f>
        <v/>
      </c>
    </row>
    <row r="385" customFormat="false" ht="15" hidden="false" customHeight="false" outlineLevel="0" collapsed="false">
      <c r="A385" s="15" t="str">
        <f aca="false">IF('Project Register'!$A385="","",ROW('Project Register'!A385))</f>
        <v/>
      </c>
      <c r="B385" s="15" t="str">
        <f aca="false">IF('Project Register'!$A385="","",'Project Register'!B385)</f>
        <v/>
      </c>
      <c r="C385" s="15" t="str">
        <f aca="false">IF('Project Register'!$A385="","",IF(OR('Project Register'!E385="",'Project Register'!F385=""),"",IF('Project Register'!F385&lt;'Project Register'!E385,0,NETWORKDAYS.INTL('Project Register'!E385,'Project Register'!F385,"0000110",Holidays_Leave!$A$3:$A$62))))</f>
        <v/>
      </c>
      <c r="D385" s="15" t="str">
        <f aca="false">IF('Project Register'!$A385="","",('Project Register'!H385&lt;&gt;"")+('Project Register'!J385&lt;&gt;"")+('Project Register'!L385&lt;&gt;""))</f>
        <v/>
      </c>
      <c r="E385" s="16" t="str">
        <f aca="false">IF(OR(C385="",D385="",'Project Register'!G385=""),"",IF(OR(C385=0,D385=0),"",'Project Register'!G385/(C385*D385)))</f>
        <v/>
      </c>
      <c r="F385" s="15" t="str">
        <f aca="false">IF('Project Register'!$A385="","",TRIM(IF(OR('Project Register'!E385="",'Project Register'!F385=""),"Missing date. ","")&amp;IF(AND('Project Register'!E385&lt;&gt;"",'Project Register'!F385&lt;&gt;"",'Project Register'!F385&lt;'Project Register'!E385),"End before start. ","")&amp;IF(NOT(ISNUMBER('Project Register'!G385)),"Effort missing. ","")&amp;IF(D385=0,"No resource. ","")&amp;IF(AND('Project Register'!H385&lt;&gt;"",'Project Register'!I385=""),"Role 1 missing. ","")&amp;IF(AND('Project Register'!J385&lt;&gt;"",'Project Register'!K385=""),"Role 2 missing. ","")&amp;IF(AND('Project Register'!L385&lt;&gt;"",'Project Register'!M385=""),"Role 3 missing. ","")&amp;IF(OR(AND('Project Register'!H385&lt;&gt;"",'Project Register'!H385='Project Register'!J385),AND('Project Register'!H385&lt;&gt;"",'Project Register'!H385='Project Register'!L385),AND('Project Register'!J385&lt;&gt;"",'Project Register'!J385='Project Register'!L385)),"Same person listed twice. ","")&amp;IF(AND('Project Register'!H385&lt;&gt;"",COUNTIF(Resources!$A$2:$A$51,'Project Register'!H385)=0),"Resource 1 not in Resources sheet. ","")&amp;IF(AND('Project Register'!J385&lt;&gt;"",COUNTIF(Resources!$A$2:$A$51,'Project Register'!J385)=0),"Resource 2 not in Resources sheet. ","")&amp;IF(AND('Project Register'!L385&lt;&gt;"",COUNTIF(Resources!$A$2:$A$51,'Project Register'!L385)=0),"Resource 3 not in Resources sheet. ","")&amp;IF('Project Register'!O385="","Test Status missing. ","")&amp;IF(AND(ISNUMBER(E385),E385&gt;1),"This task alone needs over 100% per person. ","")&amp;IF(AND('Project Register'!Q385="Deployed in Live",'Project Register'!R385=""),"Release Date blank (import date will be used). ","")))</f>
        <v/>
      </c>
      <c r="G385" s="17" t="str">
        <f aca="false">IF('Project Register'!$A385="","",IF(F385="","OK","Check"))</f>
        <v/>
      </c>
    </row>
    <row r="386" customFormat="false" ht="15" hidden="false" customHeight="false" outlineLevel="0" collapsed="false">
      <c r="A386" s="15" t="str">
        <f aca="false">IF('Project Register'!$A386="","",ROW('Project Register'!A386))</f>
        <v/>
      </c>
      <c r="B386" s="15" t="str">
        <f aca="false">IF('Project Register'!$A386="","",'Project Register'!B386)</f>
        <v/>
      </c>
      <c r="C386" s="15" t="str">
        <f aca="false">IF('Project Register'!$A386="","",IF(OR('Project Register'!E386="",'Project Register'!F386=""),"",IF('Project Register'!F386&lt;'Project Register'!E386,0,NETWORKDAYS.INTL('Project Register'!E386,'Project Register'!F386,"0000110",Holidays_Leave!$A$3:$A$62))))</f>
        <v/>
      </c>
      <c r="D386" s="15" t="str">
        <f aca="false">IF('Project Register'!$A386="","",('Project Register'!H386&lt;&gt;"")+('Project Register'!J386&lt;&gt;"")+('Project Register'!L386&lt;&gt;""))</f>
        <v/>
      </c>
      <c r="E386" s="16" t="str">
        <f aca="false">IF(OR(C386="",D386="",'Project Register'!G386=""),"",IF(OR(C386=0,D386=0),"",'Project Register'!G386/(C386*D386)))</f>
        <v/>
      </c>
      <c r="F386" s="15" t="str">
        <f aca="false">IF('Project Register'!$A386="","",TRIM(IF(OR('Project Register'!E386="",'Project Register'!F386=""),"Missing date. ","")&amp;IF(AND('Project Register'!E386&lt;&gt;"",'Project Register'!F386&lt;&gt;"",'Project Register'!F386&lt;'Project Register'!E386),"End before start. ","")&amp;IF(NOT(ISNUMBER('Project Register'!G386)),"Effort missing. ","")&amp;IF(D386=0,"No resource. ","")&amp;IF(AND('Project Register'!H386&lt;&gt;"",'Project Register'!I386=""),"Role 1 missing. ","")&amp;IF(AND('Project Register'!J386&lt;&gt;"",'Project Register'!K386=""),"Role 2 missing. ","")&amp;IF(AND('Project Register'!L386&lt;&gt;"",'Project Register'!M386=""),"Role 3 missing. ","")&amp;IF(OR(AND('Project Register'!H386&lt;&gt;"",'Project Register'!H386='Project Register'!J386),AND('Project Register'!H386&lt;&gt;"",'Project Register'!H386='Project Register'!L386),AND('Project Register'!J386&lt;&gt;"",'Project Register'!J386='Project Register'!L386)),"Same person listed twice. ","")&amp;IF(AND('Project Register'!H386&lt;&gt;"",COUNTIF(Resources!$A$2:$A$51,'Project Register'!H386)=0),"Resource 1 not in Resources sheet. ","")&amp;IF(AND('Project Register'!J386&lt;&gt;"",COUNTIF(Resources!$A$2:$A$51,'Project Register'!J386)=0),"Resource 2 not in Resources sheet. ","")&amp;IF(AND('Project Register'!L386&lt;&gt;"",COUNTIF(Resources!$A$2:$A$51,'Project Register'!L386)=0),"Resource 3 not in Resources sheet. ","")&amp;IF('Project Register'!O386="","Test Status missing. ","")&amp;IF(AND(ISNUMBER(E386),E386&gt;1),"This task alone needs over 100% per person. ","")&amp;IF(AND('Project Register'!Q386="Deployed in Live",'Project Register'!R386=""),"Release Date blank (import date will be used). ","")))</f>
        <v/>
      </c>
      <c r="G386" s="17" t="str">
        <f aca="false">IF('Project Register'!$A386="","",IF(F386="","OK","Check"))</f>
        <v/>
      </c>
    </row>
    <row r="387" customFormat="false" ht="15" hidden="false" customHeight="false" outlineLevel="0" collapsed="false">
      <c r="A387" s="15" t="str">
        <f aca="false">IF('Project Register'!$A387="","",ROW('Project Register'!A387))</f>
        <v/>
      </c>
      <c r="B387" s="15" t="str">
        <f aca="false">IF('Project Register'!$A387="","",'Project Register'!B387)</f>
        <v/>
      </c>
      <c r="C387" s="15" t="str">
        <f aca="false">IF('Project Register'!$A387="","",IF(OR('Project Register'!E387="",'Project Register'!F387=""),"",IF('Project Register'!F387&lt;'Project Register'!E387,0,NETWORKDAYS.INTL('Project Register'!E387,'Project Register'!F387,"0000110",Holidays_Leave!$A$3:$A$62))))</f>
        <v/>
      </c>
      <c r="D387" s="15" t="str">
        <f aca="false">IF('Project Register'!$A387="","",('Project Register'!H387&lt;&gt;"")+('Project Register'!J387&lt;&gt;"")+('Project Register'!L387&lt;&gt;""))</f>
        <v/>
      </c>
      <c r="E387" s="16" t="str">
        <f aca="false">IF(OR(C387="",D387="",'Project Register'!G387=""),"",IF(OR(C387=0,D387=0),"",'Project Register'!G387/(C387*D387)))</f>
        <v/>
      </c>
      <c r="F387" s="15" t="str">
        <f aca="false">IF('Project Register'!$A387="","",TRIM(IF(OR('Project Register'!E387="",'Project Register'!F387=""),"Missing date. ","")&amp;IF(AND('Project Register'!E387&lt;&gt;"",'Project Register'!F387&lt;&gt;"",'Project Register'!F387&lt;'Project Register'!E387),"End before start. ","")&amp;IF(NOT(ISNUMBER('Project Register'!G387)),"Effort missing. ","")&amp;IF(D387=0,"No resource. ","")&amp;IF(AND('Project Register'!H387&lt;&gt;"",'Project Register'!I387=""),"Role 1 missing. ","")&amp;IF(AND('Project Register'!J387&lt;&gt;"",'Project Register'!K387=""),"Role 2 missing. ","")&amp;IF(AND('Project Register'!L387&lt;&gt;"",'Project Register'!M387=""),"Role 3 missing. ","")&amp;IF(OR(AND('Project Register'!H387&lt;&gt;"",'Project Register'!H387='Project Register'!J387),AND('Project Register'!H387&lt;&gt;"",'Project Register'!H387='Project Register'!L387),AND('Project Register'!J387&lt;&gt;"",'Project Register'!J387='Project Register'!L387)),"Same person listed twice. ","")&amp;IF(AND('Project Register'!H387&lt;&gt;"",COUNTIF(Resources!$A$2:$A$51,'Project Register'!H387)=0),"Resource 1 not in Resources sheet. ","")&amp;IF(AND('Project Register'!J387&lt;&gt;"",COUNTIF(Resources!$A$2:$A$51,'Project Register'!J387)=0),"Resource 2 not in Resources sheet. ","")&amp;IF(AND('Project Register'!L387&lt;&gt;"",COUNTIF(Resources!$A$2:$A$51,'Project Register'!L387)=0),"Resource 3 not in Resources sheet. ","")&amp;IF('Project Register'!O387="","Test Status missing. ","")&amp;IF(AND(ISNUMBER(E387),E387&gt;1),"This task alone needs over 100% per person. ","")&amp;IF(AND('Project Register'!Q387="Deployed in Live",'Project Register'!R387=""),"Release Date blank (import date will be used). ","")))</f>
        <v/>
      </c>
      <c r="G387" s="17" t="str">
        <f aca="false">IF('Project Register'!$A387="","",IF(F387="","OK","Check"))</f>
        <v/>
      </c>
    </row>
    <row r="388" customFormat="false" ht="15" hidden="false" customHeight="false" outlineLevel="0" collapsed="false">
      <c r="A388" s="15" t="str">
        <f aca="false">IF('Project Register'!$A388="","",ROW('Project Register'!A388))</f>
        <v/>
      </c>
      <c r="B388" s="15" t="str">
        <f aca="false">IF('Project Register'!$A388="","",'Project Register'!B388)</f>
        <v/>
      </c>
      <c r="C388" s="15" t="str">
        <f aca="false">IF('Project Register'!$A388="","",IF(OR('Project Register'!E388="",'Project Register'!F388=""),"",IF('Project Register'!F388&lt;'Project Register'!E388,0,NETWORKDAYS.INTL('Project Register'!E388,'Project Register'!F388,"0000110",Holidays_Leave!$A$3:$A$62))))</f>
        <v/>
      </c>
      <c r="D388" s="15" t="str">
        <f aca="false">IF('Project Register'!$A388="","",('Project Register'!H388&lt;&gt;"")+('Project Register'!J388&lt;&gt;"")+('Project Register'!L388&lt;&gt;""))</f>
        <v/>
      </c>
      <c r="E388" s="16" t="str">
        <f aca="false">IF(OR(C388="",D388="",'Project Register'!G388=""),"",IF(OR(C388=0,D388=0),"",'Project Register'!G388/(C388*D388)))</f>
        <v/>
      </c>
      <c r="F388" s="15" t="str">
        <f aca="false">IF('Project Register'!$A388="","",TRIM(IF(OR('Project Register'!E388="",'Project Register'!F388=""),"Missing date. ","")&amp;IF(AND('Project Register'!E388&lt;&gt;"",'Project Register'!F388&lt;&gt;"",'Project Register'!F388&lt;'Project Register'!E388),"End before start. ","")&amp;IF(NOT(ISNUMBER('Project Register'!G388)),"Effort missing. ","")&amp;IF(D388=0,"No resource. ","")&amp;IF(AND('Project Register'!H388&lt;&gt;"",'Project Register'!I388=""),"Role 1 missing. ","")&amp;IF(AND('Project Register'!J388&lt;&gt;"",'Project Register'!K388=""),"Role 2 missing. ","")&amp;IF(AND('Project Register'!L388&lt;&gt;"",'Project Register'!M388=""),"Role 3 missing. ","")&amp;IF(OR(AND('Project Register'!H388&lt;&gt;"",'Project Register'!H388='Project Register'!J388),AND('Project Register'!H388&lt;&gt;"",'Project Register'!H388='Project Register'!L388),AND('Project Register'!J388&lt;&gt;"",'Project Register'!J388='Project Register'!L388)),"Same person listed twice. ","")&amp;IF(AND('Project Register'!H388&lt;&gt;"",COUNTIF(Resources!$A$2:$A$51,'Project Register'!H388)=0),"Resource 1 not in Resources sheet. ","")&amp;IF(AND('Project Register'!J388&lt;&gt;"",COUNTIF(Resources!$A$2:$A$51,'Project Register'!J388)=0),"Resource 2 not in Resources sheet. ","")&amp;IF(AND('Project Register'!L388&lt;&gt;"",COUNTIF(Resources!$A$2:$A$51,'Project Register'!L388)=0),"Resource 3 not in Resources sheet. ","")&amp;IF('Project Register'!O388="","Test Status missing. ","")&amp;IF(AND(ISNUMBER(E388),E388&gt;1),"This task alone needs over 100% per person. ","")&amp;IF(AND('Project Register'!Q388="Deployed in Live",'Project Register'!R388=""),"Release Date blank (import date will be used). ","")))</f>
        <v/>
      </c>
      <c r="G388" s="17" t="str">
        <f aca="false">IF('Project Register'!$A388="","",IF(F388="","OK","Check"))</f>
        <v/>
      </c>
    </row>
    <row r="389" customFormat="false" ht="15" hidden="false" customHeight="false" outlineLevel="0" collapsed="false">
      <c r="A389" s="15" t="str">
        <f aca="false">IF('Project Register'!$A389="","",ROW('Project Register'!A389))</f>
        <v/>
      </c>
      <c r="B389" s="15" t="str">
        <f aca="false">IF('Project Register'!$A389="","",'Project Register'!B389)</f>
        <v/>
      </c>
      <c r="C389" s="15" t="str">
        <f aca="false">IF('Project Register'!$A389="","",IF(OR('Project Register'!E389="",'Project Register'!F389=""),"",IF('Project Register'!F389&lt;'Project Register'!E389,0,NETWORKDAYS.INTL('Project Register'!E389,'Project Register'!F389,"0000110",Holidays_Leave!$A$3:$A$62))))</f>
        <v/>
      </c>
      <c r="D389" s="15" t="str">
        <f aca="false">IF('Project Register'!$A389="","",('Project Register'!H389&lt;&gt;"")+('Project Register'!J389&lt;&gt;"")+('Project Register'!L389&lt;&gt;""))</f>
        <v/>
      </c>
      <c r="E389" s="16" t="str">
        <f aca="false">IF(OR(C389="",D389="",'Project Register'!G389=""),"",IF(OR(C389=0,D389=0),"",'Project Register'!G389/(C389*D389)))</f>
        <v/>
      </c>
      <c r="F389" s="15" t="str">
        <f aca="false">IF('Project Register'!$A389="","",TRIM(IF(OR('Project Register'!E389="",'Project Register'!F389=""),"Missing date. ","")&amp;IF(AND('Project Register'!E389&lt;&gt;"",'Project Register'!F389&lt;&gt;"",'Project Register'!F389&lt;'Project Register'!E389),"End before start. ","")&amp;IF(NOT(ISNUMBER('Project Register'!G389)),"Effort missing. ","")&amp;IF(D389=0,"No resource. ","")&amp;IF(AND('Project Register'!H389&lt;&gt;"",'Project Register'!I389=""),"Role 1 missing. ","")&amp;IF(AND('Project Register'!J389&lt;&gt;"",'Project Register'!K389=""),"Role 2 missing. ","")&amp;IF(AND('Project Register'!L389&lt;&gt;"",'Project Register'!M389=""),"Role 3 missing. ","")&amp;IF(OR(AND('Project Register'!H389&lt;&gt;"",'Project Register'!H389='Project Register'!J389),AND('Project Register'!H389&lt;&gt;"",'Project Register'!H389='Project Register'!L389),AND('Project Register'!J389&lt;&gt;"",'Project Register'!J389='Project Register'!L389)),"Same person listed twice. ","")&amp;IF(AND('Project Register'!H389&lt;&gt;"",COUNTIF(Resources!$A$2:$A$51,'Project Register'!H389)=0),"Resource 1 not in Resources sheet. ","")&amp;IF(AND('Project Register'!J389&lt;&gt;"",COUNTIF(Resources!$A$2:$A$51,'Project Register'!J389)=0),"Resource 2 not in Resources sheet. ","")&amp;IF(AND('Project Register'!L389&lt;&gt;"",COUNTIF(Resources!$A$2:$A$51,'Project Register'!L389)=0),"Resource 3 not in Resources sheet. ","")&amp;IF('Project Register'!O389="","Test Status missing. ","")&amp;IF(AND(ISNUMBER(E389),E389&gt;1),"This task alone needs over 100% per person. ","")&amp;IF(AND('Project Register'!Q389="Deployed in Live",'Project Register'!R389=""),"Release Date blank (import date will be used). ","")))</f>
        <v/>
      </c>
      <c r="G389" s="17" t="str">
        <f aca="false">IF('Project Register'!$A389="","",IF(F389="","OK","Check"))</f>
        <v/>
      </c>
    </row>
    <row r="390" customFormat="false" ht="15" hidden="false" customHeight="false" outlineLevel="0" collapsed="false">
      <c r="A390" s="15" t="str">
        <f aca="false">IF('Project Register'!$A390="","",ROW('Project Register'!A390))</f>
        <v/>
      </c>
      <c r="B390" s="15" t="str">
        <f aca="false">IF('Project Register'!$A390="","",'Project Register'!B390)</f>
        <v/>
      </c>
      <c r="C390" s="15" t="str">
        <f aca="false">IF('Project Register'!$A390="","",IF(OR('Project Register'!E390="",'Project Register'!F390=""),"",IF('Project Register'!F390&lt;'Project Register'!E390,0,NETWORKDAYS.INTL('Project Register'!E390,'Project Register'!F390,"0000110",Holidays_Leave!$A$3:$A$62))))</f>
        <v/>
      </c>
      <c r="D390" s="15" t="str">
        <f aca="false">IF('Project Register'!$A390="","",('Project Register'!H390&lt;&gt;"")+('Project Register'!J390&lt;&gt;"")+('Project Register'!L390&lt;&gt;""))</f>
        <v/>
      </c>
      <c r="E390" s="16" t="str">
        <f aca="false">IF(OR(C390="",D390="",'Project Register'!G390=""),"",IF(OR(C390=0,D390=0),"",'Project Register'!G390/(C390*D390)))</f>
        <v/>
      </c>
      <c r="F390" s="15" t="str">
        <f aca="false">IF('Project Register'!$A390="","",TRIM(IF(OR('Project Register'!E390="",'Project Register'!F390=""),"Missing date. ","")&amp;IF(AND('Project Register'!E390&lt;&gt;"",'Project Register'!F390&lt;&gt;"",'Project Register'!F390&lt;'Project Register'!E390),"End before start. ","")&amp;IF(NOT(ISNUMBER('Project Register'!G390)),"Effort missing. ","")&amp;IF(D390=0,"No resource. ","")&amp;IF(AND('Project Register'!H390&lt;&gt;"",'Project Register'!I390=""),"Role 1 missing. ","")&amp;IF(AND('Project Register'!J390&lt;&gt;"",'Project Register'!K390=""),"Role 2 missing. ","")&amp;IF(AND('Project Register'!L390&lt;&gt;"",'Project Register'!M390=""),"Role 3 missing. ","")&amp;IF(OR(AND('Project Register'!H390&lt;&gt;"",'Project Register'!H390='Project Register'!J390),AND('Project Register'!H390&lt;&gt;"",'Project Register'!H390='Project Register'!L390),AND('Project Register'!J390&lt;&gt;"",'Project Register'!J390='Project Register'!L390)),"Same person listed twice. ","")&amp;IF(AND('Project Register'!H390&lt;&gt;"",COUNTIF(Resources!$A$2:$A$51,'Project Register'!H390)=0),"Resource 1 not in Resources sheet. ","")&amp;IF(AND('Project Register'!J390&lt;&gt;"",COUNTIF(Resources!$A$2:$A$51,'Project Register'!J390)=0),"Resource 2 not in Resources sheet. ","")&amp;IF(AND('Project Register'!L390&lt;&gt;"",COUNTIF(Resources!$A$2:$A$51,'Project Register'!L390)=0),"Resource 3 not in Resources sheet. ","")&amp;IF('Project Register'!O390="","Test Status missing. ","")&amp;IF(AND(ISNUMBER(E390),E390&gt;1),"This task alone needs over 100% per person. ","")&amp;IF(AND('Project Register'!Q390="Deployed in Live",'Project Register'!R390=""),"Release Date blank (import date will be used). ","")))</f>
        <v/>
      </c>
      <c r="G390" s="17" t="str">
        <f aca="false">IF('Project Register'!$A390="","",IF(F390="","OK","Check"))</f>
        <v/>
      </c>
    </row>
    <row r="391" customFormat="false" ht="15" hidden="false" customHeight="false" outlineLevel="0" collapsed="false">
      <c r="A391" s="15" t="str">
        <f aca="false">IF('Project Register'!$A391="","",ROW('Project Register'!A391))</f>
        <v/>
      </c>
      <c r="B391" s="15" t="str">
        <f aca="false">IF('Project Register'!$A391="","",'Project Register'!B391)</f>
        <v/>
      </c>
      <c r="C391" s="15" t="str">
        <f aca="false">IF('Project Register'!$A391="","",IF(OR('Project Register'!E391="",'Project Register'!F391=""),"",IF('Project Register'!F391&lt;'Project Register'!E391,0,NETWORKDAYS.INTL('Project Register'!E391,'Project Register'!F391,"0000110",Holidays_Leave!$A$3:$A$62))))</f>
        <v/>
      </c>
      <c r="D391" s="15" t="str">
        <f aca="false">IF('Project Register'!$A391="","",('Project Register'!H391&lt;&gt;"")+('Project Register'!J391&lt;&gt;"")+('Project Register'!L391&lt;&gt;""))</f>
        <v/>
      </c>
      <c r="E391" s="16" t="str">
        <f aca="false">IF(OR(C391="",D391="",'Project Register'!G391=""),"",IF(OR(C391=0,D391=0),"",'Project Register'!G391/(C391*D391)))</f>
        <v/>
      </c>
      <c r="F391" s="15" t="str">
        <f aca="false">IF('Project Register'!$A391="","",TRIM(IF(OR('Project Register'!E391="",'Project Register'!F391=""),"Missing date. ","")&amp;IF(AND('Project Register'!E391&lt;&gt;"",'Project Register'!F391&lt;&gt;"",'Project Register'!F391&lt;'Project Register'!E391),"End before start. ","")&amp;IF(NOT(ISNUMBER('Project Register'!G391)),"Effort missing. ","")&amp;IF(D391=0,"No resource. ","")&amp;IF(AND('Project Register'!H391&lt;&gt;"",'Project Register'!I391=""),"Role 1 missing. ","")&amp;IF(AND('Project Register'!J391&lt;&gt;"",'Project Register'!K391=""),"Role 2 missing. ","")&amp;IF(AND('Project Register'!L391&lt;&gt;"",'Project Register'!M391=""),"Role 3 missing. ","")&amp;IF(OR(AND('Project Register'!H391&lt;&gt;"",'Project Register'!H391='Project Register'!J391),AND('Project Register'!H391&lt;&gt;"",'Project Register'!H391='Project Register'!L391),AND('Project Register'!J391&lt;&gt;"",'Project Register'!J391='Project Register'!L391)),"Same person listed twice. ","")&amp;IF(AND('Project Register'!H391&lt;&gt;"",COUNTIF(Resources!$A$2:$A$51,'Project Register'!H391)=0),"Resource 1 not in Resources sheet. ","")&amp;IF(AND('Project Register'!J391&lt;&gt;"",COUNTIF(Resources!$A$2:$A$51,'Project Register'!J391)=0),"Resource 2 not in Resources sheet. ","")&amp;IF(AND('Project Register'!L391&lt;&gt;"",COUNTIF(Resources!$A$2:$A$51,'Project Register'!L391)=0),"Resource 3 not in Resources sheet. ","")&amp;IF('Project Register'!O391="","Test Status missing. ","")&amp;IF(AND(ISNUMBER(E391),E391&gt;1),"This task alone needs over 100% per person. ","")&amp;IF(AND('Project Register'!Q391="Deployed in Live",'Project Register'!R391=""),"Release Date blank (import date will be used). ","")))</f>
        <v/>
      </c>
      <c r="G391" s="17" t="str">
        <f aca="false">IF('Project Register'!$A391="","",IF(F391="","OK","Check"))</f>
        <v/>
      </c>
    </row>
    <row r="392" customFormat="false" ht="15" hidden="false" customHeight="false" outlineLevel="0" collapsed="false">
      <c r="A392" s="15" t="str">
        <f aca="false">IF('Project Register'!$A392="","",ROW('Project Register'!A392))</f>
        <v/>
      </c>
      <c r="B392" s="15" t="str">
        <f aca="false">IF('Project Register'!$A392="","",'Project Register'!B392)</f>
        <v/>
      </c>
      <c r="C392" s="15" t="str">
        <f aca="false">IF('Project Register'!$A392="","",IF(OR('Project Register'!E392="",'Project Register'!F392=""),"",IF('Project Register'!F392&lt;'Project Register'!E392,0,NETWORKDAYS.INTL('Project Register'!E392,'Project Register'!F392,"0000110",Holidays_Leave!$A$3:$A$62))))</f>
        <v/>
      </c>
      <c r="D392" s="15" t="str">
        <f aca="false">IF('Project Register'!$A392="","",('Project Register'!H392&lt;&gt;"")+('Project Register'!J392&lt;&gt;"")+('Project Register'!L392&lt;&gt;""))</f>
        <v/>
      </c>
      <c r="E392" s="16" t="str">
        <f aca="false">IF(OR(C392="",D392="",'Project Register'!G392=""),"",IF(OR(C392=0,D392=0),"",'Project Register'!G392/(C392*D392)))</f>
        <v/>
      </c>
      <c r="F392" s="15" t="str">
        <f aca="false">IF('Project Register'!$A392="","",TRIM(IF(OR('Project Register'!E392="",'Project Register'!F392=""),"Missing date. ","")&amp;IF(AND('Project Register'!E392&lt;&gt;"",'Project Register'!F392&lt;&gt;"",'Project Register'!F392&lt;'Project Register'!E392),"End before start. ","")&amp;IF(NOT(ISNUMBER('Project Register'!G392)),"Effort missing. ","")&amp;IF(D392=0,"No resource. ","")&amp;IF(AND('Project Register'!H392&lt;&gt;"",'Project Register'!I392=""),"Role 1 missing. ","")&amp;IF(AND('Project Register'!J392&lt;&gt;"",'Project Register'!K392=""),"Role 2 missing. ","")&amp;IF(AND('Project Register'!L392&lt;&gt;"",'Project Register'!M392=""),"Role 3 missing. ","")&amp;IF(OR(AND('Project Register'!H392&lt;&gt;"",'Project Register'!H392='Project Register'!J392),AND('Project Register'!H392&lt;&gt;"",'Project Register'!H392='Project Register'!L392),AND('Project Register'!J392&lt;&gt;"",'Project Register'!J392='Project Register'!L392)),"Same person listed twice. ","")&amp;IF(AND('Project Register'!H392&lt;&gt;"",COUNTIF(Resources!$A$2:$A$51,'Project Register'!H392)=0),"Resource 1 not in Resources sheet. ","")&amp;IF(AND('Project Register'!J392&lt;&gt;"",COUNTIF(Resources!$A$2:$A$51,'Project Register'!J392)=0),"Resource 2 not in Resources sheet. ","")&amp;IF(AND('Project Register'!L392&lt;&gt;"",COUNTIF(Resources!$A$2:$A$51,'Project Register'!L392)=0),"Resource 3 not in Resources sheet. ","")&amp;IF('Project Register'!O392="","Test Status missing. ","")&amp;IF(AND(ISNUMBER(E392),E392&gt;1),"This task alone needs over 100% per person. ","")&amp;IF(AND('Project Register'!Q392="Deployed in Live",'Project Register'!R392=""),"Release Date blank (import date will be used). ","")))</f>
        <v/>
      </c>
      <c r="G392" s="17" t="str">
        <f aca="false">IF('Project Register'!$A392="","",IF(F392="","OK","Check"))</f>
        <v/>
      </c>
    </row>
    <row r="393" customFormat="false" ht="15" hidden="false" customHeight="false" outlineLevel="0" collapsed="false">
      <c r="A393" s="15" t="str">
        <f aca="false">IF('Project Register'!$A393="","",ROW('Project Register'!A393))</f>
        <v/>
      </c>
      <c r="B393" s="15" t="str">
        <f aca="false">IF('Project Register'!$A393="","",'Project Register'!B393)</f>
        <v/>
      </c>
      <c r="C393" s="15" t="str">
        <f aca="false">IF('Project Register'!$A393="","",IF(OR('Project Register'!E393="",'Project Register'!F393=""),"",IF('Project Register'!F393&lt;'Project Register'!E393,0,NETWORKDAYS.INTL('Project Register'!E393,'Project Register'!F393,"0000110",Holidays_Leave!$A$3:$A$62))))</f>
        <v/>
      </c>
      <c r="D393" s="15" t="str">
        <f aca="false">IF('Project Register'!$A393="","",('Project Register'!H393&lt;&gt;"")+('Project Register'!J393&lt;&gt;"")+('Project Register'!L393&lt;&gt;""))</f>
        <v/>
      </c>
      <c r="E393" s="16" t="str">
        <f aca="false">IF(OR(C393="",D393="",'Project Register'!G393=""),"",IF(OR(C393=0,D393=0),"",'Project Register'!G393/(C393*D393)))</f>
        <v/>
      </c>
      <c r="F393" s="15" t="str">
        <f aca="false">IF('Project Register'!$A393="","",TRIM(IF(OR('Project Register'!E393="",'Project Register'!F393=""),"Missing date. ","")&amp;IF(AND('Project Register'!E393&lt;&gt;"",'Project Register'!F393&lt;&gt;"",'Project Register'!F393&lt;'Project Register'!E393),"End before start. ","")&amp;IF(NOT(ISNUMBER('Project Register'!G393)),"Effort missing. ","")&amp;IF(D393=0,"No resource. ","")&amp;IF(AND('Project Register'!H393&lt;&gt;"",'Project Register'!I393=""),"Role 1 missing. ","")&amp;IF(AND('Project Register'!J393&lt;&gt;"",'Project Register'!K393=""),"Role 2 missing. ","")&amp;IF(AND('Project Register'!L393&lt;&gt;"",'Project Register'!M393=""),"Role 3 missing. ","")&amp;IF(OR(AND('Project Register'!H393&lt;&gt;"",'Project Register'!H393='Project Register'!J393),AND('Project Register'!H393&lt;&gt;"",'Project Register'!H393='Project Register'!L393),AND('Project Register'!J393&lt;&gt;"",'Project Register'!J393='Project Register'!L393)),"Same person listed twice. ","")&amp;IF(AND('Project Register'!H393&lt;&gt;"",COUNTIF(Resources!$A$2:$A$51,'Project Register'!H393)=0),"Resource 1 not in Resources sheet. ","")&amp;IF(AND('Project Register'!J393&lt;&gt;"",COUNTIF(Resources!$A$2:$A$51,'Project Register'!J393)=0),"Resource 2 not in Resources sheet. ","")&amp;IF(AND('Project Register'!L393&lt;&gt;"",COUNTIF(Resources!$A$2:$A$51,'Project Register'!L393)=0),"Resource 3 not in Resources sheet. ","")&amp;IF('Project Register'!O393="","Test Status missing. ","")&amp;IF(AND(ISNUMBER(E393),E393&gt;1),"This task alone needs over 100% per person. ","")&amp;IF(AND('Project Register'!Q393="Deployed in Live",'Project Register'!R393=""),"Release Date blank (import date will be used). ","")))</f>
        <v/>
      </c>
      <c r="G393" s="17" t="str">
        <f aca="false">IF('Project Register'!$A393="","",IF(F393="","OK","Check"))</f>
        <v/>
      </c>
    </row>
    <row r="394" customFormat="false" ht="15" hidden="false" customHeight="false" outlineLevel="0" collapsed="false">
      <c r="A394" s="15" t="str">
        <f aca="false">IF('Project Register'!$A394="","",ROW('Project Register'!A394))</f>
        <v/>
      </c>
      <c r="B394" s="15" t="str">
        <f aca="false">IF('Project Register'!$A394="","",'Project Register'!B394)</f>
        <v/>
      </c>
      <c r="C394" s="15" t="str">
        <f aca="false">IF('Project Register'!$A394="","",IF(OR('Project Register'!E394="",'Project Register'!F394=""),"",IF('Project Register'!F394&lt;'Project Register'!E394,0,NETWORKDAYS.INTL('Project Register'!E394,'Project Register'!F394,"0000110",Holidays_Leave!$A$3:$A$62))))</f>
        <v/>
      </c>
      <c r="D394" s="15" t="str">
        <f aca="false">IF('Project Register'!$A394="","",('Project Register'!H394&lt;&gt;"")+('Project Register'!J394&lt;&gt;"")+('Project Register'!L394&lt;&gt;""))</f>
        <v/>
      </c>
      <c r="E394" s="16" t="str">
        <f aca="false">IF(OR(C394="",D394="",'Project Register'!G394=""),"",IF(OR(C394=0,D394=0),"",'Project Register'!G394/(C394*D394)))</f>
        <v/>
      </c>
      <c r="F394" s="15" t="str">
        <f aca="false">IF('Project Register'!$A394="","",TRIM(IF(OR('Project Register'!E394="",'Project Register'!F394=""),"Missing date. ","")&amp;IF(AND('Project Register'!E394&lt;&gt;"",'Project Register'!F394&lt;&gt;"",'Project Register'!F394&lt;'Project Register'!E394),"End before start. ","")&amp;IF(NOT(ISNUMBER('Project Register'!G394)),"Effort missing. ","")&amp;IF(D394=0,"No resource. ","")&amp;IF(AND('Project Register'!H394&lt;&gt;"",'Project Register'!I394=""),"Role 1 missing. ","")&amp;IF(AND('Project Register'!J394&lt;&gt;"",'Project Register'!K394=""),"Role 2 missing. ","")&amp;IF(AND('Project Register'!L394&lt;&gt;"",'Project Register'!M394=""),"Role 3 missing. ","")&amp;IF(OR(AND('Project Register'!H394&lt;&gt;"",'Project Register'!H394='Project Register'!J394),AND('Project Register'!H394&lt;&gt;"",'Project Register'!H394='Project Register'!L394),AND('Project Register'!J394&lt;&gt;"",'Project Register'!J394='Project Register'!L394)),"Same person listed twice. ","")&amp;IF(AND('Project Register'!H394&lt;&gt;"",COUNTIF(Resources!$A$2:$A$51,'Project Register'!H394)=0),"Resource 1 not in Resources sheet. ","")&amp;IF(AND('Project Register'!J394&lt;&gt;"",COUNTIF(Resources!$A$2:$A$51,'Project Register'!J394)=0),"Resource 2 not in Resources sheet. ","")&amp;IF(AND('Project Register'!L394&lt;&gt;"",COUNTIF(Resources!$A$2:$A$51,'Project Register'!L394)=0),"Resource 3 not in Resources sheet. ","")&amp;IF('Project Register'!O394="","Test Status missing. ","")&amp;IF(AND(ISNUMBER(E394),E394&gt;1),"This task alone needs over 100% per person. ","")&amp;IF(AND('Project Register'!Q394="Deployed in Live",'Project Register'!R394=""),"Release Date blank (import date will be used). ","")))</f>
        <v/>
      </c>
      <c r="G394" s="17" t="str">
        <f aca="false">IF('Project Register'!$A394="","",IF(F394="","OK","Check"))</f>
        <v/>
      </c>
    </row>
    <row r="395" customFormat="false" ht="15" hidden="false" customHeight="false" outlineLevel="0" collapsed="false">
      <c r="A395" s="15" t="str">
        <f aca="false">IF('Project Register'!$A395="","",ROW('Project Register'!A395))</f>
        <v/>
      </c>
      <c r="B395" s="15" t="str">
        <f aca="false">IF('Project Register'!$A395="","",'Project Register'!B395)</f>
        <v/>
      </c>
      <c r="C395" s="15" t="str">
        <f aca="false">IF('Project Register'!$A395="","",IF(OR('Project Register'!E395="",'Project Register'!F395=""),"",IF('Project Register'!F395&lt;'Project Register'!E395,0,NETWORKDAYS.INTL('Project Register'!E395,'Project Register'!F395,"0000110",Holidays_Leave!$A$3:$A$62))))</f>
        <v/>
      </c>
      <c r="D395" s="15" t="str">
        <f aca="false">IF('Project Register'!$A395="","",('Project Register'!H395&lt;&gt;"")+('Project Register'!J395&lt;&gt;"")+('Project Register'!L395&lt;&gt;""))</f>
        <v/>
      </c>
      <c r="E395" s="16" t="str">
        <f aca="false">IF(OR(C395="",D395="",'Project Register'!G395=""),"",IF(OR(C395=0,D395=0),"",'Project Register'!G395/(C395*D395)))</f>
        <v/>
      </c>
      <c r="F395" s="15" t="str">
        <f aca="false">IF('Project Register'!$A395="","",TRIM(IF(OR('Project Register'!E395="",'Project Register'!F395=""),"Missing date. ","")&amp;IF(AND('Project Register'!E395&lt;&gt;"",'Project Register'!F395&lt;&gt;"",'Project Register'!F395&lt;'Project Register'!E395),"End before start. ","")&amp;IF(NOT(ISNUMBER('Project Register'!G395)),"Effort missing. ","")&amp;IF(D395=0,"No resource. ","")&amp;IF(AND('Project Register'!H395&lt;&gt;"",'Project Register'!I395=""),"Role 1 missing. ","")&amp;IF(AND('Project Register'!J395&lt;&gt;"",'Project Register'!K395=""),"Role 2 missing. ","")&amp;IF(AND('Project Register'!L395&lt;&gt;"",'Project Register'!M395=""),"Role 3 missing. ","")&amp;IF(OR(AND('Project Register'!H395&lt;&gt;"",'Project Register'!H395='Project Register'!J395),AND('Project Register'!H395&lt;&gt;"",'Project Register'!H395='Project Register'!L395),AND('Project Register'!J395&lt;&gt;"",'Project Register'!J395='Project Register'!L395)),"Same person listed twice. ","")&amp;IF(AND('Project Register'!H395&lt;&gt;"",COUNTIF(Resources!$A$2:$A$51,'Project Register'!H395)=0),"Resource 1 not in Resources sheet. ","")&amp;IF(AND('Project Register'!J395&lt;&gt;"",COUNTIF(Resources!$A$2:$A$51,'Project Register'!J395)=0),"Resource 2 not in Resources sheet. ","")&amp;IF(AND('Project Register'!L395&lt;&gt;"",COUNTIF(Resources!$A$2:$A$51,'Project Register'!L395)=0),"Resource 3 not in Resources sheet. ","")&amp;IF('Project Register'!O395="","Test Status missing. ","")&amp;IF(AND(ISNUMBER(E395),E395&gt;1),"This task alone needs over 100% per person. ","")&amp;IF(AND('Project Register'!Q395="Deployed in Live",'Project Register'!R395=""),"Release Date blank (import date will be used). ","")))</f>
        <v/>
      </c>
      <c r="G395" s="17" t="str">
        <f aca="false">IF('Project Register'!$A395="","",IF(F395="","OK","Check"))</f>
        <v/>
      </c>
    </row>
    <row r="396" customFormat="false" ht="15" hidden="false" customHeight="false" outlineLevel="0" collapsed="false">
      <c r="A396" s="15" t="str">
        <f aca="false">IF('Project Register'!$A396="","",ROW('Project Register'!A396))</f>
        <v/>
      </c>
      <c r="B396" s="15" t="str">
        <f aca="false">IF('Project Register'!$A396="","",'Project Register'!B396)</f>
        <v/>
      </c>
      <c r="C396" s="15" t="str">
        <f aca="false">IF('Project Register'!$A396="","",IF(OR('Project Register'!E396="",'Project Register'!F396=""),"",IF('Project Register'!F396&lt;'Project Register'!E396,0,NETWORKDAYS.INTL('Project Register'!E396,'Project Register'!F396,"0000110",Holidays_Leave!$A$3:$A$62))))</f>
        <v/>
      </c>
      <c r="D396" s="15" t="str">
        <f aca="false">IF('Project Register'!$A396="","",('Project Register'!H396&lt;&gt;"")+('Project Register'!J396&lt;&gt;"")+('Project Register'!L396&lt;&gt;""))</f>
        <v/>
      </c>
      <c r="E396" s="16" t="str">
        <f aca="false">IF(OR(C396="",D396="",'Project Register'!G396=""),"",IF(OR(C396=0,D396=0),"",'Project Register'!G396/(C396*D396)))</f>
        <v/>
      </c>
      <c r="F396" s="15" t="str">
        <f aca="false">IF('Project Register'!$A396="","",TRIM(IF(OR('Project Register'!E396="",'Project Register'!F396=""),"Missing date. ","")&amp;IF(AND('Project Register'!E396&lt;&gt;"",'Project Register'!F396&lt;&gt;"",'Project Register'!F396&lt;'Project Register'!E396),"End before start. ","")&amp;IF(NOT(ISNUMBER('Project Register'!G396)),"Effort missing. ","")&amp;IF(D396=0,"No resource. ","")&amp;IF(AND('Project Register'!H396&lt;&gt;"",'Project Register'!I396=""),"Role 1 missing. ","")&amp;IF(AND('Project Register'!J396&lt;&gt;"",'Project Register'!K396=""),"Role 2 missing. ","")&amp;IF(AND('Project Register'!L396&lt;&gt;"",'Project Register'!M396=""),"Role 3 missing. ","")&amp;IF(OR(AND('Project Register'!H396&lt;&gt;"",'Project Register'!H396='Project Register'!J396),AND('Project Register'!H396&lt;&gt;"",'Project Register'!H396='Project Register'!L396),AND('Project Register'!J396&lt;&gt;"",'Project Register'!J396='Project Register'!L396)),"Same person listed twice. ","")&amp;IF(AND('Project Register'!H396&lt;&gt;"",COUNTIF(Resources!$A$2:$A$51,'Project Register'!H396)=0),"Resource 1 not in Resources sheet. ","")&amp;IF(AND('Project Register'!J396&lt;&gt;"",COUNTIF(Resources!$A$2:$A$51,'Project Register'!J396)=0),"Resource 2 not in Resources sheet. ","")&amp;IF(AND('Project Register'!L396&lt;&gt;"",COUNTIF(Resources!$A$2:$A$51,'Project Register'!L396)=0),"Resource 3 not in Resources sheet. ","")&amp;IF('Project Register'!O396="","Test Status missing. ","")&amp;IF(AND(ISNUMBER(E396),E396&gt;1),"This task alone needs over 100% per person. ","")&amp;IF(AND('Project Register'!Q396="Deployed in Live",'Project Register'!R396=""),"Release Date blank (import date will be used). ","")))</f>
        <v/>
      </c>
      <c r="G396" s="17" t="str">
        <f aca="false">IF('Project Register'!$A396="","",IF(F396="","OK","Check"))</f>
        <v/>
      </c>
    </row>
    <row r="397" customFormat="false" ht="15" hidden="false" customHeight="false" outlineLevel="0" collapsed="false">
      <c r="A397" s="15" t="str">
        <f aca="false">IF('Project Register'!$A397="","",ROW('Project Register'!A397))</f>
        <v/>
      </c>
      <c r="B397" s="15" t="str">
        <f aca="false">IF('Project Register'!$A397="","",'Project Register'!B397)</f>
        <v/>
      </c>
      <c r="C397" s="15" t="str">
        <f aca="false">IF('Project Register'!$A397="","",IF(OR('Project Register'!E397="",'Project Register'!F397=""),"",IF('Project Register'!F397&lt;'Project Register'!E397,0,NETWORKDAYS.INTL('Project Register'!E397,'Project Register'!F397,"0000110",Holidays_Leave!$A$3:$A$62))))</f>
        <v/>
      </c>
      <c r="D397" s="15" t="str">
        <f aca="false">IF('Project Register'!$A397="","",('Project Register'!H397&lt;&gt;"")+('Project Register'!J397&lt;&gt;"")+('Project Register'!L397&lt;&gt;""))</f>
        <v/>
      </c>
      <c r="E397" s="16" t="str">
        <f aca="false">IF(OR(C397="",D397="",'Project Register'!G397=""),"",IF(OR(C397=0,D397=0),"",'Project Register'!G397/(C397*D397)))</f>
        <v/>
      </c>
      <c r="F397" s="15" t="str">
        <f aca="false">IF('Project Register'!$A397="","",TRIM(IF(OR('Project Register'!E397="",'Project Register'!F397=""),"Missing date. ","")&amp;IF(AND('Project Register'!E397&lt;&gt;"",'Project Register'!F397&lt;&gt;"",'Project Register'!F397&lt;'Project Register'!E397),"End before start. ","")&amp;IF(NOT(ISNUMBER('Project Register'!G397)),"Effort missing. ","")&amp;IF(D397=0,"No resource. ","")&amp;IF(AND('Project Register'!H397&lt;&gt;"",'Project Register'!I397=""),"Role 1 missing. ","")&amp;IF(AND('Project Register'!J397&lt;&gt;"",'Project Register'!K397=""),"Role 2 missing. ","")&amp;IF(AND('Project Register'!L397&lt;&gt;"",'Project Register'!M397=""),"Role 3 missing. ","")&amp;IF(OR(AND('Project Register'!H397&lt;&gt;"",'Project Register'!H397='Project Register'!J397),AND('Project Register'!H397&lt;&gt;"",'Project Register'!H397='Project Register'!L397),AND('Project Register'!J397&lt;&gt;"",'Project Register'!J397='Project Register'!L397)),"Same person listed twice. ","")&amp;IF(AND('Project Register'!H397&lt;&gt;"",COUNTIF(Resources!$A$2:$A$51,'Project Register'!H397)=0),"Resource 1 not in Resources sheet. ","")&amp;IF(AND('Project Register'!J397&lt;&gt;"",COUNTIF(Resources!$A$2:$A$51,'Project Register'!J397)=0),"Resource 2 not in Resources sheet. ","")&amp;IF(AND('Project Register'!L397&lt;&gt;"",COUNTIF(Resources!$A$2:$A$51,'Project Register'!L397)=0),"Resource 3 not in Resources sheet. ","")&amp;IF('Project Register'!O397="","Test Status missing. ","")&amp;IF(AND(ISNUMBER(E397),E397&gt;1),"This task alone needs over 100% per person. ","")&amp;IF(AND('Project Register'!Q397="Deployed in Live",'Project Register'!R397=""),"Release Date blank (import date will be used). ","")))</f>
        <v/>
      </c>
      <c r="G397" s="17" t="str">
        <f aca="false">IF('Project Register'!$A397="","",IF(F397="","OK","Check"))</f>
        <v/>
      </c>
    </row>
    <row r="398" customFormat="false" ht="15" hidden="false" customHeight="false" outlineLevel="0" collapsed="false">
      <c r="A398" s="15" t="str">
        <f aca="false">IF('Project Register'!$A398="","",ROW('Project Register'!A398))</f>
        <v/>
      </c>
      <c r="B398" s="15" t="str">
        <f aca="false">IF('Project Register'!$A398="","",'Project Register'!B398)</f>
        <v/>
      </c>
      <c r="C398" s="15" t="str">
        <f aca="false">IF('Project Register'!$A398="","",IF(OR('Project Register'!E398="",'Project Register'!F398=""),"",IF('Project Register'!F398&lt;'Project Register'!E398,0,NETWORKDAYS.INTL('Project Register'!E398,'Project Register'!F398,"0000110",Holidays_Leave!$A$3:$A$62))))</f>
        <v/>
      </c>
      <c r="D398" s="15" t="str">
        <f aca="false">IF('Project Register'!$A398="","",('Project Register'!H398&lt;&gt;"")+('Project Register'!J398&lt;&gt;"")+('Project Register'!L398&lt;&gt;""))</f>
        <v/>
      </c>
      <c r="E398" s="16" t="str">
        <f aca="false">IF(OR(C398="",D398="",'Project Register'!G398=""),"",IF(OR(C398=0,D398=0),"",'Project Register'!G398/(C398*D398)))</f>
        <v/>
      </c>
      <c r="F398" s="15" t="str">
        <f aca="false">IF('Project Register'!$A398="","",TRIM(IF(OR('Project Register'!E398="",'Project Register'!F398=""),"Missing date. ","")&amp;IF(AND('Project Register'!E398&lt;&gt;"",'Project Register'!F398&lt;&gt;"",'Project Register'!F398&lt;'Project Register'!E398),"End before start. ","")&amp;IF(NOT(ISNUMBER('Project Register'!G398)),"Effort missing. ","")&amp;IF(D398=0,"No resource. ","")&amp;IF(AND('Project Register'!H398&lt;&gt;"",'Project Register'!I398=""),"Role 1 missing. ","")&amp;IF(AND('Project Register'!J398&lt;&gt;"",'Project Register'!K398=""),"Role 2 missing. ","")&amp;IF(AND('Project Register'!L398&lt;&gt;"",'Project Register'!M398=""),"Role 3 missing. ","")&amp;IF(OR(AND('Project Register'!H398&lt;&gt;"",'Project Register'!H398='Project Register'!J398),AND('Project Register'!H398&lt;&gt;"",'Project Register'!H398='Project Register'!L398),AND('Project Register'!J398&lt;&gt;"",'Project Register'!J398='Project Register'!L398)),"Same person listed twice. ","")&amp;IF(AND('Project Register'!H398&lt;&gt;"",COUNTIF(Resources!$A$2:$A$51,'Project Register'!H398)=0),"Resource 1 not in Resources sheet. ","")&amp;IF(AND('Project Register'!J398&lt;&gt;"",COUNTIF(Resources!$A$2:$A$51,'Project Register'!J398)=0),"Resource 2 not in Resources sheet. ","")&amp;IF(AND('Project Register'!L398&lt;&gt;"",COUNTIF(Resources!$A$2:$A$51,'Project Register'!L398)=0),"Resource 3 not in Resources sheet. ","")&amp;IF('Project Register'!O398="","Test Status missing. ","")&amp;IF(AND(ISNUMBER(E398),E398&gt;1),"This task alone needs over 100% per person. ","")&amp;IF(AND('Project Register'!Q398="Deployed in Live",'Project Register'!R398=""),"Release Date blank (import date will be used). ","")))</f>
        <v/>
      </c>
      <c r="G398" s="17" t="str">
        <f aca="false">IF('Project Register'!$A398="","",IF(F398="","OK","Check"))</f>
        <v/>
      </c>
    </row>
    <row r="399" customFormat="false" ht="15" hidden="false" customHeight="false" outlineLevel="0" collapsed="false">
      <c r="A399" s="15" t="str">
        <f aca="false">IF('Project Register'!$A399="","",ROW('Project Register'!A399))</f>
        <v/>
      </c>
      <c r="B399" s="15" t="str">
        <f aca="false">IF('Project Register'!$A399="","",'Project Register'!B399)</f>
        <v/>
      </c>
      <c r="C399" s="15" t="str">
        <f aca="false">IF('Project Register'!$A399="","",IF(OR('Project Register'!E399="",'Project Register'!F399=""),"",IF('Project Register'!F399&lt;'Project Register'!E399,0,NETWORKDAYS.INTL('Project Register'!E399,'Project Register'!F399,"0000110",Holidays_Leave!$A$3:$A$62))))</f>
        <v/>
      </c>
      <c r="D399" s="15" t="str">
        <f aca="false">IF('Project Register'!$A399="","",('Project Register'!H399&lt;&gt;"")+('Project Register'!J399&lt;&gt;"")+('Project Register'!L399&lt;&gt;""))</f>
        <v/>
      </c>
      <c r="E399" s="16" t="str">
        <f aca="false">IF(OR(C399="",D399="",'Project Register'!G399=""),"",IF(OR(C399=0,D399=0),"",'Project Register'!G399/(C399*D399)))</f>
        <v/>
      </c>
      <c r="F399" s="15" t="str">
        <f aca="false">IF('Project Register'!$A399="","",TRIM(IF(OR('Project Register'!E399="",'Project Register'!F399=""),"Missing date. ","")&amp;IF(AND('Project Register'!E399&lt;&gt;"",'Project Register'!F399&lt;&gt;"",'Project Register'!F399&lt;'Project Register'!E399),"End before start. ","")&amp;IF(NOT(ISNUMBER('Project Register'!G399)),"Effort missing. ","")&amp;IF(D399=0,"No resource. ","")&amp;IF(AND('Project Register'!H399&lt;&gt;"",'Project Register'!I399=""),"Role 1 missing. ","")&amp;IF(AND('Project Register'!J399&lt;&gt;"",'Project Register'!K399=""),"Role 2 missing. ","")&amp;IF(AND('Project Register'!L399&lt;&gt;"",'Project Register'!M399=""),"Role 3 missing. ","")&amp;IF(OR(AND('Project Register'!H399&lt;&gt;"",'Project Register'!H399='Project Register'!J399),AND('Project Register'!H399&lt;&gt;"",'Project Register'!H399='Project Register'!L399),AND('Project Register'!J399&lt;&gt;"",'Project Register'!J399='Project Register'!L399)),"Same person listed twice. ","")&amp;IF(AND('Project Register'!H399&lt;&gt;"",COUNTIF(Resources!$A$2:$A$51,'Project Register'!H399)=0),"Resource 1 not in Resources sheet. ","")&amp;IF(AND('Project Register'!J399&lt;&gt;"",COUNTIF(Resources!$A$2:$A$51,'Project Register'!J399)=0),"Resource 2 not in Resources sheet. ","")&amp;IF(AND('Project Register'!L399&lt;&gt;"",COUNTIF(Resources!$A$2:$A$51,'Project Register'!L399)=0),"Resource 3 not in Resources sheet. ","")&amp;IF('Project Register'!O399="","Test Status missing. ","")&amp;IF(AND(ISNUMBER(E399),E399&gt;1),"This task alone needs over 100% per person. ","")&amp;IF(AND('Project Register'!Q399="Deployed in Live",'Project Register'!R399=""),"Release Date blank (import date will be used). ","")))</f>
        <v/>
      </c>
      <c r="G399" s="17" t="str">
        <f aca="false">IF('Project Register'!$A399="","",IF(F399="","OK","Check"))</f>
        <v/>
      </c>
    </row>
    <row r="400" customFormat="false" ht="15" hidden="false" customHeight="false" outlineLevel="0" collapsed="false">
      <c r="A400" s="15" t="str">
        <f aca="false">IF('Project Register'!$A400="","",ROW('Project Register'!A400))</f>
        <v/>
      </c>
      <c r="B400" s="15" t="str">
        <f aca="false">IF('Project Register'!$A400="","",'Project Register'!B400)</f>
        <v/>
      </c>
      <c r="C400" s="15" t="str">
        <f aca="false">IF('Project Register'!$A400="","",IF(OR('Project Register'!E400="",'Project Register'!F400=""),"",IF('Project Register'!F400&lt;'Project Register'!E400,0,NETWORKDAYS.INTL('Project Register'!E400,'Project Register'!F400,"0000110",Holidays_Leave!$A$3:$A$62))))</f>
        <v/>
      </c>
      <c r="D400" s="15" t="str">
        <f aca="false">IF('Project Register'!$A400="","",('Project Register'!H400&lt;&gt;"")+('Project Register'!J400&lt;&gt;"")+('Project Register'!L400&lt;&gt;""))</f>
        <v/>
      </c>
      <c r="E400" s="16" t="str">
        <f aca="false">IF(OR(C400="",D400="",'Project Register'!G400=""),"",IF(OR(C400=0,D400=0),"",'Project Register'!G400/(C400*D400)))</f>
        <v/>
      </c>
      <c r="F400" s="15" t="str">
        <f aca="false">IF('Project Register'!$A400="","",TRIM(IF(OR('Project Register'!E400="",'Project Register'!F400=""),"Missing date. ","")&amp;IF(AND('Project Register'!E400&lt;&gt;"",'Project Register'!F400&lt;&gt;"",'Project Register'!F400&lt;'Project Register'!E400),"End before start. ","")&amp;IF(NOT(ISNUMBER('Project Register'!G400)),"Effort missing. ","")&amp;IF(D400=0,"No resource. ","")&amp;IF(AND('Project Register'!H400&lt;&gt;"",'Project Register'!I400=""),"Role 1 missing. ","")&amp;IF(AND('Project Register'!J400&lt;&gt;"",'Project Register'!K400=""),"Role 2 missing. ","")&amp;IF(AND('Project Register'!L400&lt;&gt;"",'Project Register'!M400=""),"Role 3 missing. ","")&amp;IF(OR(AND('Project Register'!H400&lt;&gt;"",'Project Register'!H400='Project Register'!J400),AND('Project Register'!H400&lt;&gt;"",'Project Register'!H400='Project Register'!L400),AND('Project Register'!J400&lt;&gt;"",'Project Register'!J400='Project Register'!L400)),"Same person listed twice. ","")&amp;IF(AND('Project Register'!H400&lt;&gt;"",COUNTIF(Resources!$A$2:$A$51,'Project Register'!H400)=0),"Resource 1 not in Resources sheet. ","")&amp;IF(AND('Project Register'!J400&lt;&gt;"",COUNTIF(Resources!$A$2:$A$51,'Project Register'!J400)=0),"Resource 2 not in Resources sheet. ","")&amp;IF(AND('Project Register'!L400&lt;&gt;"",COUNTIF(Resources!$A$2:$A$51,'Project Register'!L400)=0),"Resource 3 not in Resources sheet. ","")&amp;IF('Project Register'!O400="","Test Status missing. ","")&amp;IF(AND(ISNUMBER(E400),E400&gt;1),"This task alone needs over 100% per person. ","")&amp;IF(AND('Project Register'!Q400="Deployed in Live",'Project Register'!R400=""),"Release Date blank (import date will be used). ","")))</f>
        <v/>
      </c>
      <c r="G400" s="17" t="str">
        <f aca="false">IF('Project Register'!$A400="","",IF(F400="","OK","Check"))</f>
        <v/>
      </c>
    </row>
    <row r="401" customFormat="false" ht="15" hidden="false" customHeight="false" outlineLevel="0" collapsed="false">
      <c r="A401" s="15" t="str">
        <f aca="false">IF('Project Register'!$A401="","",ROW('Project Register'!A401))</f>
        <v/>
      </c>
      <c r="B401" s="15" t="str">
        <f aca="false">IF('Project Register'!$A401="","",'Project Register'!B401)</f>
        <v/>
      </c>
      <c r="C401" s="15" t="str">
        <f aca="false">IF('Project Register'!$A401="","",IF(OR('Project Register'!E401="",'Project Register'!F401=""),"",IF('Project Register'!F401&lt;'Project Register'!E401,0,NETWORKDAYS.INTL('Project Register'!E401,'Project Register'!F401,"0000110",Holidays_Leave!$A$3:$A$62))))</f>
        <v/>
      </c>
      <c r="D401" s="15" t="str">
        <f aca="false">IF('Project Register'!$A401="","",('Project Register'!H401&lt;&gt;"")+('Project Register'!J401&lt;&gt;"")+('Project Register'!L401&lt;&gt;""))</f>
        <v/>
      </c>
      <c r="E401" s="16" t="str">
        <f aca="false">IF(OR(C401="",D401="",'Project Register'!G401=""),"",IF(OR(C401=0,D401=0),"",'Project Register'!G401/(C401*D401)))</f>
        <v/>
      </c>
      <c r="F401" s="15" t="str">
        <f aca="false">IF('Project Register'!$A401="","",TRIM(IF(OR('Project Register'!E401="",'Project Register'!F401=""),"Missing date. ","")&amp;IF(AND('Project Register'!E401&lt;&gt;"",'Project Register'!F401&lt;&gt;"",'Project Register'!F401&lt;'Project Register'!E401),"End before start. ","")&amp;IF(NOT(ISNUMBER('Project Register'!G401)),"Effort missing. ","")&amp;IF(D401=0,"No resource. ","")&amp;IF(AND('Project Register'!H401&lt;&gt;"",'Project Register'!I401=""),"Role 1 missing. ","")&amp;IF(AND('Project Register'!J401&lt;&gt;"",'Project Register'!K401=""),"Role 2 missing. ","")&amp;IF(AND('Project Register'!L401&lt;&gt;"",'Project Register'!M401=""),"Role 3 missing. ","")&amp;IF(OR(AND('Project Register'!H401&lt;&gt;"",'Project Register'!H401='Project Register'!J401),AND('Project Register'!H401&lt;&gt;"",'Project Register'!H401='Project Register'!L401),AND('Project Register'!J401&lt;&gt;"",'Project Register'!J401='Project Register'!L401)),"Same person listed twice. ","")&amp;IF(AND('Project Register'!H401&lt;&gt;"",COUNTIF(Resources!$A$2:$A$51,'Project Register'!H401)=0),"Resource 1 not in Resources sheet. ","")&amp;IF(AND('Project Register'!J401&lt;&gt;"",COUNTIF(Resources!$A$2:$A$51,'Project Register'!J401)=0),"Resource 2 not in Resources sheet. ","")&amp;IF(AND('Project Register'!L401&lt;&gt;"",COUNTIF(Resources!$A$2:$A$51,'Project Register'!L401)=0),"Resource 3 not in Resources sheet. ","")&amp;IF('Project Register'!O401="","Test Status missing. ","")&amp;IF(AND(ISNUMBER(E401),E401&gt;1),"This task alone needs over 100% per person. ","")&amp;IF(AND('Project Register'!Q401="Deployed in Live",'Project Register'!R401=""),"Release Date blank (import date will be used). ","")))</f>
        <v/>
      </c>
      <c r="G401" s="17" t="str">
        <f aca="false">IF('Project Register'!$A401="","",IF(F401="","OK","Check"))</f>
        <v/>
      </c>
    </row>
    <row r="402" customFormat="false" ht="15" hidden="false" customHeight="false" outlineLevel="0" collapsed="false">
      <c r="A402" s="15" t="str">
        <f aca="false">IF('Project Register'!$A402="","",ROW('Project Register'!A402))</f>
        <v/>
      </c>
      <c r="B402" s="15" t="str">
        <f aca="false">IF('Project Register'!$A402="","",'Project Register'!B402)</f>
        <v/>
      </c>
      <c r="C402" s="15" t="str">
        <f aca="false">IF('Project Register'!$A402="","",IF(OR('Project Register'!E402="",'Project Register'!F402=""),"",IF('Project Register'!F402&lt;'Project Register'!E402,0,NETWORKDAYS.INTL('Project Register'!E402,'Project Register'!F402,"0000110",Holidays_Leave!$A$3:$A$62))))</f>
        <v/>
      </c>
      <c r="D402" s="15" t="str">
        <f aca="false">IF('Project Register'!$A402="","",('Project Register'!H402&lt;&gt;"")+('Project Register'!J402&lt;&gt;"")+('Project Register'!L402&lt;&gt;""))</f>
        <v/>
      </c>
      <c r="E402" s="16" t="str">
        <f aca="false">IF(OR(C402="",D402="",'Project Register'!G402=""),"",IF(OR(C402=0,D402=0),"",'Project Register'!G402/(C402*D402)))</f>
        <v/>
      </c>
      <c r="F402" s="15" t="str">
        <f aca="false">IF('Project Register'!$A402="","",TRIM(IF(OR('Project Register'!E402="",'Project Register'!F402=""),"Missing date. ","")&amp;IF(AND('Project Register'!E402&lt;&gt;"",'Project Register'!F402&lt;&gt;"",'Project Register'!F402&lt;'Project Register'!E402),"End before start. ","")&amp;IF(NOT(ISNUMBER('Project Register'!G402)),"Effort missing. ","")&amp;IF(D402=0,"No resource. ","")&amp;IF(AND('Project Register'!H402&lt;&gt;"",'Project Register'!I402=""),"Role 1 missing. ","")&amp;IF(AND('Project Register'!J402&lt;&gt;"",'Project Register'!K402=""),"Role 2 missing. ","")&amp;IF(AND('Project Register'!L402&lt;&gt;"",'Project Register'!M402=""),"Role 3 missing. ","")&amp;IF(OR(AND('Project Register'!H402&lt;&gt;"",'Project Register'!H402='Project Register'!J402),AND('Project Register'!H402&lt;&gt;"",'Project Register'!H402='Project Register'!L402),AND('Project Register'!J402&lt;&gt;"",'Project Register'!J402='Project Register'!L402)),"Same person listed twice. ","")&amp;IF(AND('Project Register'!H402&lt;&gt;"",COUNTIF(Resources!$A$2:$A$51,'Project Register'!H402)=0),"Resource 1 not in Resources sheet. ","")&amp;IF(AND('Project Register'!J402&lt;&gt;"",COUNTIF(Resources!$A$2:$A$51,'Project Register'!J402)=0),"Resource 2 not in Resources sheet. ","")&amp;IF(AND('Project Register'!L402&lt;&gt;"",COUNTIF(Resources!$A$2:$A$51,'Project Register'!L402)=0),"Resource 3 not in Resources sheet. ","")&amp;IF('Project Register'!O402="","Test Status missing. ","")&amp;IF(AND(ISNUMBER(E402),E402&gt;1),"This task alone needs over 100% per person. ","")&amp;IF(AND('Project Register'!Q402="Deployed in Live",'Project Register'!R402=""),"Release Date blank (import date will be used). ","")))</f>
        <v/>
      </c>
      <c r="G402" s="17" t="str">
        <f aca="false">IF('Project Register'!$A402="","",IF(F402="","OK","Check"))</f>
        <v/>
      </c>
    </row>
    <row r="403" customFormat="false" ht="15" hidden="false" customHeight="false" outlineLevel="0" collapsed="false">
      <c r="A403" s="15" t="str">
        <f aca="false">IF('Project Register'!$A403="","",ROW('Project Register'!A403))</f>
        <v/>
      </c>
      <c r="B403" s="15" t="str">
        <f aca="false">IF('Project Register'!$A403="","",'Project Register'!B403)</f>
        <v/>
      </c>
      <c r="C403" s="15" t="str">
        <f aca="false">IF('Project Register'!$A403="","",IF(OR('Project Register'!E403="",'Project Register'!F403=""),"",IF('Project Register'!F403&lt;'Project Register'!E403,0,NETWORKDAYS.INTL('Project Register'!E403,'Project Register'!F403,"0000110",Holidays_Leave!$A$3:$A$62))))</f>
        <v/>
      </c>
      <c r="D403" s="15" t="str">
        <f aca="false">IF('Project Register'!$A403="","",('Project Register'!H403&lt;&gt;"")+('Project Register'!J403&lt;&gt;"")+('Project Register'!L403&lt;&gt;""))</f>
        <v/>
      </c>
      <c r="E403" s="16" t="str">
        <f aca="false">IF(OR(C403="",D403="",'Project Register'!G403=""),"",IF(OR(C403=0,D403=0),"",'Project Register'!G403/(C403*D403)))</f>
        <v/>
      </c>
      <c r="F403" s="15" t="str">
        <f aca="false">IF('Project Register'!$A403="","",TRIM(IF(OR('Project Register'!E403="",'Project Register'!F403=""),"Missing date. ","")&amp;IF(AND('Project Register'!E403&lt;&gt;"",'Project Register'!F403&lt;&gt;"",'Project Register'!F403&lt;'Project Register'!E403),"End before start. ","")&amp;IF(NOT(ISNUMBER('Project Register'!G403)),"Effort missing. ","")&amp;IF(D403=0,"No resource. ","")&amp;IF(AND('Project Register'!H403&lt;&gt;"",'Project Register'!I403=""),"Role 1 missing. ","")&amp;IF(AND('Project Register'!J403&lt;&gt;"",'Project Register'!K403=""),"Role 2 missing. ","")&amp;IF(AND('Project Register'!L403&lt;&gt;"",'Project Register'!M403=""),"Role 3 missing. ","")&amp;IF(OR(AND('Project Register'!H403&lt;&gt;"",'Project Register'!H403='Project Register'!J403),AND('Project Register'!H403&lt;&gt;"",'Project Register'!H403='Project Register'!L403),AND('Project Register'!J403&lt;&gt;"",'Project Register'!J403='Project Register'!L403)),"Same person listed twice. ","")&amp;IF(AND('Project Register'!H403&lt;&gt;"",COUNTIF(Resources!$A$2:$A$51,'Project Register'!H403)=0),"Resource 1 not in Resources sheet. ","")&amp;IF(AND('Project Register'!J403&lt;&gt;"",COUNTIF(Resources!$A$2:$A$51,'Project Register'!J403)=0),"Resource 2 not in Resources sheet. ","")&amp;IF(AND('Project Register'!L403&lt;&gt;"",COUNTIF(Resources!$A$2:$A$51,'Project Register'!L403)=0),"Resource 3 not in Resources sheet. ","")&amp;IF('Project Register'!O403="","Test Status missing. ","")&amp;IF(AND(ISNUMBER(E403),E403&gt;1),"This task alone needs over 100% per person. ","")&amp;IF(AND('Project Register'!Q403="Deployed in Live",'Project Register'!R403=""),"Release Date blank (import date will be used). ","")))</f>
        <v/>
      </c>
      <c r="G403" s="17" t="str">
        <f aca="false">IF('Project Register'!$A403="","",IF(F403="","OK","Check"))</f>
        <v/>
      </c>
    </row>
    <row r="404" customFormat="false" ht="15" hidden="false" customHeight="false" outlineLevel="0" collapsed="false">
      <c r="A404" s="15" t="str">
        <f aca="false">IF('Project Register'!$A404="","",ROW('Project Register'!A404))</f>
        <v/>
      </c>
      <c r="B404" s="15" t="str">
        <f aca="false">IF('Project Register'!$A404="","",'Project Register'!B404)</f>
        <v/>
      </c>
      <c r="C404" s="15" t="str">
        <f aca="false">IF('Project Register'!$A404="","",IF(OR('Project Register'!E404="",'Project Register'!F404=""),"",IF('Project Register'!F404&lt;'Project Register'!E404,0,NETWORKDAYS.INTL('Project Register'!E404,'Project Register'!F404,"0000110",Holidays_Leave!$A$3:$A$62))))</f>
        <v/>
      </c>
      <c r="D404" s="15" t="str">
        <f aca="false">IF('Project Register'!$A404="","",('Project Register'!H404&lt;&gt;"")+('Project Register'!J404&lt;&gt;"")+('Project Register'!L404&lt;&gt;""))</f>
        <v/>
      </c>
      <c r="E404" s="16" t="str">
        <f aca="false">IF(OR(C404="",D404="",'Project Register'!G404=""),"",IF(OR(C404=0,D404=0),"",'Project Register'!G404/(C404*D404)))</f>
        <v/>
      </c>
      <c r="F404" s="15" t="str">
        <f aca="false">IF('Project Register'!$A404="","",TRIM(IF(OR('Project Register'!E404="",'Project Register'!F404=""),"Missing date. ","")&amp;IF(AND('Project Register'!E404&lt;&gt;"",'Project Register'!F404&lt;&gt;"",'Project Register'!F404&lt;'Project Register'!E404),"End before start. ","")&amp;IF(NOT(ISNUMBER('Project Register'!G404)),"Effort missing. ","")&amp;IF(D404=0,"No resource. ","")&amp;IF(AND('Project Register'!H404&lt;&gt;"",'Project Register'!I404=""),"Role 1 missing. ","")&amp;IF(AND('Project Register'!J404&lt;&gt;"",'Project Register'!K404=""),"Role 2 missing. ","")&amp;IF(AND('Project Register'!L404&lt;&gt;"",'Project Register'!M404=""),"Role 3 missing. ","")&amp;IF(OR(AND('Project Register'!H404&lt;&gt;"",'Project Register'!H404='Project Register'!J404),AND('Project Register'!H404&lt;&gt;"",'Project Register'!H404='Project Register'!L404),AND('Project Register'!J404&lt;&gt;"",'Project Register'!J404='Project Register'!L404)),"Same person listed twice. ","")&amp;IF(AND('Project Register'!H404&lt;&gt;"",COUNTIF(Resources!$A$2:$A$51,'Project Register'!H404)=0),"Resource 1 not in Resources sheet. ","")&amp;IF(AND('Project Register'!J404&lt;&gt;"",COUNTIF(Resources!$A$2:$A$51,'Project Register'!J404)=0),"Resource 2 not in Resources sheet. ","")&amp;IF(AND('Project Register'!L404&lt;&gt;"",COUNTIF(Resources!$A$2:$A$51,'Project Register'!L404)=0),"Resource 3 not in Resources sheet. ","")&amp;IF('Project Register'!O404="","Test Status missing. ","")&amp;IF(AND(ISNUMBER(E404),E404&gt;1),"This task alone needs over 100% per person. ","")&amp;IF(AND('Project Register'!Q404="Deployed in Live",'Project Register'!R404=""),"Release Date blank (import date will be used). ","")))</f>
        <v/>
      </c>
      <c r="G404" s="17" t="str">
        <f aca="false">IF('Project Register'!$A404="","",IF(F404="","OK","Check"))</f>
        <v/>
      </c>
    </row>
    <row r="405" customFormat="false" ht="15" hidden="false" customHeight="false" outlineLevel="0" collapsed="false">
      <c r="A405" s="15" t="str">
        <f aca="false">IF('Project Register'!$A405="","",ROW('Project Register'!A405))</f>
        <v/>
      </c>
      <c r="B405" s="15" t="str">
        <f aca="false">IF('Project Register'!$A405="","",'Project Register'!B405)</f>
        <v/>
      </c>
      <c r="C405" s="15" t="str">
        <f aca="false">IF('Project Register'!$A405="","",IF(OR('Project Register'!E405="",'Project Register'!F405=""),"",IF('Project Register'!F405&lt;'Project Register'!E405,0,NETWORKDAYS.INTL('Project Register'!E405,'Project Register'!F405,"0000110",Holidays_Leave!$A$3:$A$62))))</f>
        <v/>
      </c>
      <c r="D405" s="15" t="str">
        <f aca="false">IF('Project Register'!$A405="","",('Project Register'!H405&lt;&gt;"")+('Project Register'!J405&lt;&gt;"")+('Project Register'!L405&lt;&gt;""))</f>
        <v/>
      </c>
      <c r="E405" s="16" t="str">
        <f aca="false">IF(OR(C405="",D405="",'Project Register'!G405=""),"",IF(OR(C405=0,D405=0),"",'Project Register'!G405/(C405*D405)))</f>
        <v/>
      </c>
      <c r="F405" s="15" t="str">
        <f aca="false">IF('Project Register'!$A405="","",TRIM(IF(OR('Project Register'!E405="",'Project Register'!F405=""),"Missing date. ","")&amp;IF(AND('Project Register'!E405&lt;&gt;"",'Project Register'!F405&lt;&gt;"",'Project Register'!F405&lt;'Project Register'!E405),"End before start. ","")&amp;IF(NOT(ISNUMBER('Project Register'!G405)),"Effort missing. ","")&amp;IF(D405=0,"No resource. ","")&amp;IF(AND('Project Register'!H405&lt;&gt;"",'Project Register'!I405=""),"Role 1 missing. ","")&amp;IF(AND('Project Register'!J405&lt;&gt;"",'Project Register'!K405=""),"Role 2 missing. ","")&amp;IF(AND('Project Register'!L405&lt;&gt;"",'Project Register'!M405=""),"Role 3 missing. ","")&amp;IF(OR(AND('Project Register'!H405&lt;&gt;"",'Project Register'!H405='Project Register'!J405),AND('Project Register'!H405&lt;&gt;"",'Project Register'!H405='Project Register'!L405),AND('Project Register'!J405&lt;&gt;"",'Project Register'!J405='Project Register'!L405)),"Same person listed twice. ","")&amp;IF(AND('Project Register'!H405&lt;&gt;"",COUNTIF(Resources!$A$2:$A$51,'Project Register'!H405)=0),"Resource 1 not in Resources sheet. ","")&amp;IF(AND('Project Register'!J405&lt;&gt;"",COUNTIF(Resources!$A$2:$A$51,'Project Register'!J405)=0),"Resource 2 not in Resources sheet. ","")&amp;IF(AND('Project Register'!L405&lt;&gt;"",COUNTIF(Resources!$A$2:$A$51,'Project Register'!L405)=0),"Resource 3 not in Resources sheet. ","")&amp;IF('Project Register'!O405="","Test Status missing. ","")&amp;IF(AND(ISNUMBER(E405),E405&gt;1),"This task alone needs over 100% per person. ","")&amp;IF(AND('Project Register'!Q405="Deployed in Live",'Project Register'!R405=""),"Release Date blank (import date will be used). ","")))</f>
        <v/>
      </c>
      <c r="G405" s="17" t="str">
        <f aca="false">IF('Project Register'!$A405="","",IF(F405="","OK","Check"))</f>
        <v/>
      </c>
    </row>
    <row r="406" customFormat="false" ht="15" hidden="false" customHeight="false" outlineLevel="0" collapsed="false">
      <c r="A406" s="15" t="str">
        <f aca="false">IF('Project Register'!$A406="","",ROW('Project Register'!A406))</f>
        <v/>
      </c>
      <c r="B406" s="15" t="str">
        <f aca="false">IF('Project Register'!$A406="","",'Project Register'!B406)</f>
        <v/>
      </c>
      <c r="C406" s="15" t="str">
        <f aca="false">IF('Project Register'!$A406="","",IF(OR('Project Register'!E406="",'Project Register'!F406=""),"",IF('Project Register'!F406&lt;'Project Register'!E406,0,NETWORKDAYS.INTL('Project Register'!E406,'Project Register'!F406,"0000110",Holidays_Leave!$A$3:$A$62))))</f>
        <v/>
      </c>
      <c r="D406" s="15" t="str">
        <f aca="false">IF('Project Register'!$A406="","",('Project Register'!H406&lt;&gt;"")+('Project Register'!J406&lt;&gt;"")+('Project Register'!L406&lt;&gt;""))</f>
        <v/>
      </c>
      <c r="E406" s="16" t="str">
        <f aca="false">IF(OR(C406="",D406="",'Project Register'!G406=""),"",IF(OR(C406=0,D406=0),"",'Project Register'!G406/(C406*D406)))</f>
        <v/>
      </c>
      <c r="F406" s="15" t="str">
        <f aca="false">IF('Project Register'!$A406="","",TRIM(IF(OR('Project Register'!E406="",'Project Register'!F406=""),"Missing date. ","")&amp;IF(AND('Project Register'!E406&lt;&gt;"",'Project Register'!F406&lt;&gt;"",'Project Register'!F406&lt;'Project Register'!E406),"End before start. ","")&amp;IF(NOT(ISNUMBER('Project Register'!G406)),"Effort missing. ","")&amp;IF(D406=0,"No resource. ","")&amp;IF(AND('Project Register'!H406&lt;&gt;"",'Project Register'!I406=""),"Role 1 missing. ","")&amp;IF(AND('Project Register'!J406&lt;&gt;"",'Project Register'!K406=""),"Role 2 missing. ","")&amp;IF(AND('Project Register'!L406&lt;&gt;"",'Project Register'!M406=""),"Role 3 missing. ","")&amp;IF(OR(AND('Project Register'!H406&lt;&gt;"",'Project Register'!H406='Project Register'!J406),AND('Project Register'!H406&lt;&gt;"",'Project Register'!H406='Project Register'!L406),AND('Project Register'!J406&lt;&gt;"",'Project Register'!J406='Project Register'!L406)),"Same person listed twice. ","")&amp;IF(AND('Project Register'!H406&lt;&gt;"",COUNTIF(Resources!$A$2:$A$51,'Project Register'!H406)=0),"Resource 1 not in Resources sheet. ","")&amp;IF(AND('Project Register'!J406&lt;&gt;"",COUNTIF(Resources!$A$2:$A$51,'Project Register'!J406)=0),"Resource 2 not in Resources sheet. ","")&amp;IF(AND('Project Register'!L406&lt;&gt;"",COUNTIF(Resources!$A$2:$A$51,'Project Register'!L406)=0),"Resource 3 not in Resources sheet. ","")&amp;IF('Project Register'!O406="","Test Status missing. ","")&amp;IF(AND(ISNUMBER(E406),E406&gt;1),"This task alone needs over 100% per person. ","")&amp;IF(AND('Project Register'!Q406="Deployed in Live",'Project Register'!R406=""),"Release Date blank (import date will be used). ","")))</f>
        <v/>
      </c>
      <c r="G406" s="17" t="str">
        <f aca="false">IF('Project Register'!$A406="","",IF(F406="","OK","Check"))</f>
        <v/>
      </c>
    </row>
    <row r="407" customFormat="false" ht="15" hidden="false" customHeight="false" outlineLevel="0" collapsed="false">
      <c r="A407" s="15" t="str">
        <f aca="false">IF('Project Register'!$A407="","",ROW('Project Register'!A407))</f>
        <v/>
      </c>
      <c r="B407" s="15" t="str">
        <f aca="false">IF('Project Register'!$A407="","",'Project Register'!B407)</f>
        <v/>
      </c>
      <c r="C407" s="15" t="str">
        <f aca="false">IF('Project Register'!$A407="","",IF(OR('Project Register'!E407="",'Project Register'!F407=""),"",IF('Project Register'!F407&lt;'Project Register'!E407,0,NETWORKDAYS.INTL('Project Register'!E407,'Project Register'!F407,"0000110",Holidays_Leave!$A$3:$A$62))))</f>
        <v/>
      </c>
      <c r="D407" s="15" t="str">
        <f aca="false">IF('Project Register'!$A407="","",('Project Register'!H407&lt;&gt;"")+('Project Register'!J407&lt;&gt;"")+('Project Register'!L407&lt;&gt;""))</f>
        <v/>
      </c>
      <c r="E407" s="16" t="str">
        <f aca="false">IF(OR(C407="",D407="",'Project Register'!G407=""),"",IF(OR(C407=0,D407=0),"",'Project Register'!G407/(C407*D407)))</f>
        <v/>
      </c>
      <c r="F407" s="15" t="str">
        <f aca="false">IF('Project Register'!$A407="","",TRIM(IF(OR('Project Register'!E407="",'Project Register'!F407=""),"Missing date. ","")&amp;IF(AND('Project Register'!E407&lt;&gt;"",'Project Register'!F407&lt;&gt;"",'Project Register'!F407&lt;'Project Register'!E407),"End before start. ","")&amp;IF(NOT(ISNUMBER('Project Register'!G407)),"Effort missing. ","")&amp;IF(D407=0,"No resource. ","")&amp;IF(AND('Project Register'!H407&lt;&gt;"",'Project Register'!I407=""),"Role 1 missing. ","")&amp;IF(AND('Project Register'!J407&lt;&gt;"",'Project Register'!K407=""),"Role 2 missing. ","")&amp;IF(AND('Project Register'!L407&lt;&gt;"",'Project Register'!M407=""),"Role 3 missing. ","")&amp;IF(OR(AND('Project Register'!H407&lt;&gt;"",'Project Register'!H407='Project Register'!J407),AND('Project Register'!H407&lt;&gt;"",'Project Register'!H407='Project Register'!L407),AND('Project Register'!J407&lt;&gt;"",'Project Register'!J407='Project Register'!L407)),"Same person listed twice. ","")&amp;IF(AND('Project Register'!H407&lt;&gt;"",COUNTIF(Resources!$A$2:$A$51,'Project Register'!H407)=0),"Resource 1 not in Resources sheet. ","")&amp;IF(AND('Project Register'!J407&lt;&gt;"",COUNTIF(Resources!$A$2:$A$51,'Project Register'!J407)=0),"Resource 2 not in Resources sheet. ","")&amp;IF(AND('Project Register'!L407&lt;&gt;"",COUNTIF(Resources!$A$2:$A$51,'Project Register'!L407)=0),"Resource 3 not in Resources sheet. ","")&amp;IF('Project Register'!O407="","Test Status missing. ","")&amp;IF(AND(ISNUMBER(E407),E407&gt;1),"This task alone needs over 100% per person. ","")&amp;IF(AND('Project Register'!Q407="Deployed in Live",'Project Register'!R407=""),"Release Date blank (import date will be used). ","")))</f>
        <v/>
      </c>
      <c r="G407" s="17" t="str">
        <f aca="false">IF('Project Register'!$A407="","",IF(F407="","OK","Check"))</f>
        <v/>
      </c>
    </row>
    <row r="408" customFormat="false" ht="15" hidden="false" customHeight="false" outlineLevel="0" collapsed="false">
      <c r="A408" s="15" t="str">
        <f aca="false">IF('Project Register'!$A408="","",ROW('Project Register'!A408))</f>
        <v/>
      </c>
      <c r="B408" s="15" t="str">
        <f aca="false">IF('Project Register'!$A408="","",'Project Register'!B408)</f>
        <v/>
      </c>
      <c r="C408" s="15" t="str">
        <f aca="false">IF('Project Register'!$A408="","",IF(OR('Project Register'!E408="",'Project Register'!F408=""),"",IF('Project Register'!F408&lt;'Project Register'!E408,0,NETWORKDAYS.INTL('Project Register'!E408,'Project Register'!F408,"0000110",Holidays_Leave!$A$3:$A$62))))</f>
        <v/>
      </c>
      <c r="D408" s="15" t="str">
        <f aca="false">IF('Project Register'!$A408="","",('Project Register'!H408&lt;&gt;"")+('Project Register'!J408&lt;&gt;"")+('Project Register'!L408&lt;&gt;""))</f>
        <v/>
      </c>
      <c r="E408" s="16" t="str">
        <f aca="false">IF(OR(C408="",D408="",'Project Register'!G408=""),"",IF(OR(C408=0,D408=0),"",'Project Register'!G408/(C408*D408)))</f>
        <v/>
      </c>
      <c r="F408" s="15" t="str">
        <f aca="false">IF('Project Register'!$A408="","",TRIM(IF(OR('Project Register'!E408="",'Project Register'!F408=""),"Missing date. ","")&amp;IF(AND('Project Register'!E408&lt;&gt;"",'Project Register'!F408&lt;&gt;"",'Project Register'!F408&lt;'Project Register'!E408),"End before start. ","")&amp;IF(NOT(ISNUMBER('Project Register'!G408)),"Effort missing. ","")&amp;IF(D408=0,"No resource. ","")&amp;IF(AND('Project Register'!H408&lt;&gt;"",'Project Register'!I408=""),"Role 1 missing. ","")&amp;IF(AND('Project Register'!J408&lt;&gt;"",'Project Register'!K408=""),"Role 2 missing. ","")&amp;IF(AND('Project Register'!L408&lt;&gt;"",'Project Register'!M408=""),"Role 3 missing. ","")&amp;IF(OR(AND('Project Register'!H408&lt;&gt;"",'Project Register'!H408='Project Register'!J408),AND('Project Register'!H408&lt;&gt;"",'Project Register'!H408='Project Register'!L408),AND('Project Register'!J408&lt;&gt;"",'Project Register'!J408='Project Register'!L408)),"Same person listed twice. ","")&amp;IF(AND('Project Register'!H408&lt;&gt;"",COUNTIF(Resources!$A$2:$A$51,'Project Register'!H408)=0),"Resource 1 not in Resources sheet. ","")&amp;IF(AND('Project Register'!J408&lt;&gt;"",COUNTIF(Resources!$A$2:$A$51,'Project Register'!J408)=0),"Resource 2 not in Resources sheet. ","")&amp;IF(AND('Project Register'!L408&lt;&gt;"",COUNTIF(Resources!$A$2:$A$51,'Project Register'!L408)=0),"Resource 3 not in Resources sheet. ","")&amp;IF('Project Register'!O408="","Test Status missing. ","")&amp;IF(AND(ISNUMBER(E408),E408&gt;1),"This task alone needs over 100% per person. ","")&amp;IF(AND('Project Register'!Q408="Deployed in Live",'Project Register'!R408=""),"Release Date blank (import date will be used). ","")))</f>
        <v/>
      </c>
      <c r="G408" s="17" t="str">
        <f aca="false">IF('Project Register'!$A408="","",IF(F408="","OK","Check"))</f>
        <v/>
      </c>
    </row>
    <row r="409" customFormat="false" ht="15" hidden="false" customHeight="false" outlineLevel="0" collapsed="false">
      <c r="A409" s="15" t="str">
        <f aca="false">IF('Project Register'!$A409="","",ROW('Project Register'!A409))</f>
        <v/>
      </c>
      <c r="B409" s="15" t="str">
        <f aca="false">IF('Project Register'!$A409="","",'Project Register'!B409)</f>
        <v/>
      </c>
      <c r="C409" s="15" t="str">
        <f aca="false">IF('Project Register'!$A409="","",IF(OR('Project Register'!E409="",'Project Register'!F409=""),"",IF('Project Register'!F409&lt;'Project Register'!E409,0,NETWORKDAYS.INTL('Project Register'!E409,'Project Register'!F409,"0000110",Holidays_Leave!$A$3:$A$62))))</f>
        <v/>
      </c>
      <c r="D409" s="15" t="str">
        <f aca="false">IF('Project Register'!$A409="","",('Project Register'!H409&lt;&gt;"")+('Project Register'!J409&lt;&gt;"")+('Project Register'!L409&lt;&gt;""))</f>
        <v/>
      </c>
      <c r="E409" s="16" t="str">
        <f aca="false">IF(OR(C409="",D409="",'Project Register'!G409=""),"",IF(OR(C409=0,D409=0),"",'Project Register'!G409/(C409*D409)))</f>
        <v/>
      </c>
      <c r="F409" s="15" t="str">
        <f aca="false">IF('Project Register'!$A409="","",TRIM(IF(OR('Project Register'!E409="",'Project Register'!F409=""),"Missing date. ","")&amp;IF(AND('Project Register'!E409&lt;&gt;"",'Project Register'!F409&lt;&gt;"",'Project Register'!F409&lt;'Project Register'!E409),"End before start. ","")&amp;IF(NOT(ISNUMBER('Project Register'!G409)),"Effort missing. ","")&amp;IF(D409=0,"No resource. ","")&amp;IF(AND('Project Register'!H409&lt;&gt;"",'Project Register'!I409=""),"Role 1 missing. ","")&amp;IF(AND('Project Register'!J409&lt;&gt;"",'Project Register'!K409=""),"Role 2 missing. ","")&amp;IF(AND('Project Register'!L409&lt;&gt;"",'Project Register'!M409=""),"Role 3 missing. ","")&amp;IF(OR(AND('Project Register'!H409&lt;&gt;"",'Project Register'!H409='Project Register'!J409),AND('Project Register'!H409&lt;&gt;"",'Project Register'!H409='Project Register'!L409),AND('Project Register'!J409&lt;&gt;"",'Project Register'!J409='Project Register'!L409)),"Same person listed twice. ","")&amp;IF(AND('Project Register'!H409&lt;&gt;"",COUNTIF(Resources!$A$2:$A$51,'Project Register'!H409)=0),"Resource 1 not in Resources sheet. ","")&amp;IF(AND('Project Register'!J409&lt;&gt;"",COUNTIF(Resources!$A$2:$A$51,'Project Register'!J409)=0),"Resource 2 not in Resources sheet. ","")&amp;IF(AND('Project Register'!L409&lt;&gt;"",COUNTIF(Resources!$A$2:$A$51,'Project Register'!L409)=0),"Resource 3 not in Resources sheet. ","")&amp;IF('Project Register'!O409="","Test Status missing. ","")&amp;IF(AND(ISNUMBER(E409),E409&gt;1),"This task alone needs over 100% per person. ","")&amp;IF(AND('Project Register'!Q409="Deployed in Live",'Project Register'!R409=""),"Release Date blank (import date will be used). ","")))</f>
        <v/>
      </c>
      <c r="G409" s="17" t="str">
        <f aca="false">IF('Project Register'!$A409="","",IF(F409="","OK","Check"))</f>
        <v/>
      </c>
    </row>
    <row r="410" customFormat="false" ht="15" hidden="false" customHeight="false" outlineLevel="0" collapsed="false">
      <c r="A410" s="15" t="str">
        <f aca="false">IF('Project Register'!$A410="","",ROW('Project Register'!A410))</f>
        <v/>
      </c>
      <c r="B410" s="15" t="str">
        <f aca="false">IF('Project Register'!$A410="","",'Project Register'!B410)</f>
        <v/>
      </c>
      <c r="C410" s="15" t="str">
        <f aca="false">IF('Project Register'!$A410="","",IF(OR('Project Register'!E410="",'Project Register'!F410=""),"",IF('Project Register'!F410&lt;'Project Register'!E410,0,NETWORKDAYS.INTL('Project Register'!E410,'Project Register'!F410,"0000110",Holidays_Leave!$A$3:$A$62))))</f>
        <v/>
      </c>
      <c r="D410" s="15" t="str">
        <f aca="false">IF('Project Register'!$A410="","",('Project Register'!H410&lt;&gt;"")+('Project Register'!J410&lt;&gt;"")+('Project Register'!L410&lt;&gt;""))</f>
        <v/>
      </c>
      <c r="E410" s="16" t="str">
        <f aca="false">IF(OR(C410="",D410="",'Project Register'!G410=""),"",IF(OR(C410=0,D410=0),"",'Project Register'!G410/(C410*D410)))</f>
        <v/>
      </c>
      <c r="F410" s="15" t="str">
        <f aca="false">IF('Project Register'!$A410="","",TRIM(IF(OR('Project Register'!E410="",'Project Register'!F410=""),"Missing date. ","")&amp;IF(AND('Project Register'!E410&lt;&gt;"",'Project Register'!F410&lt;&gt;"",'Project Register'!F410&lt;'Project Register'!E410),"End before start. ","")&amp;IF(NOT(ISNUMBER('Project Register'!G410)),"Effort missing. ","")&amp;IF(D410=0,"No resource. ","")&amp;IF(AND('Project Register'!H410&lt;&gt;"",'Project Register'!I410=""),"Role 1 missing. ","")&amp;IF(AND('Project Register'!J410&lt;&gt;"",'Project Register'!K410=""),"Role 2 missing. ","")&amp;IF(AND('Project Register'!L410&lt;&gt;"",'Project Register'!M410=""),"Role 3 missing. ","")&amp;IF(OR(AND('Project Register'!H410&lt;&gt;"",'Project Register'!H410='Project Register'!J410),AND('Project Register'!H410&lt;&gt;"",'Project Register'!H410='Project Register'!L410),AND('Project Register'!J410&lt;&gt;"",'Project Register'!J410='Project Register'!L410)),"Same person listed twice. ","")&amp;IF(AND('Project Register'!H410&lt;&gt;"",COUNTIF(Resources!$A$2:$A$51,'Project Register'!H410)=0),"Resource 1 not in Resources sheet. ","")&amp;IF(AND('Project Register'!J410&lt;&gt;"",COUNTIF(Resources!$A$2:$A$51,'Project Register'!J410)=0),"Resource 2 not in Resources sheet. ","")&amp;IF(AND('Project Register'!L410&lt;&gt;"",COUNTIF(Resources!$A$2:$A$51,'Project Register'!L410)=0),"Resource 3 not in Resources sheet. ","")&amp;IF('Project Register'!O410="","Test Status missing. ","")&amp;IF(AND(ISNUMBER(E410),E410&gt;1),"This task alone needs over 100% per person. ","")&amp;IF(AND('Project Register'!Q410="Deployed in Live",'Project Register'!R410=""),"Release Date blank (import date will be used). ","")))</f>
        <v/>
      </c>
      <c r="G410" s="17" t="str">
        <f aca="false">IF('Project Register'!$A410="","",IF(F410="","OK","Check"))</f>
        <v/>
      </c>
    </row>
    <row r="411" customFormat="false" ht="15" hidden="false" customHeight="false" outlineLevel="0" collapsed="false">
      <c r="A411" s="15" t="str">
        <f aca="false">IF('Project Register'!$A411="","",ROW('Project Register'!A411))</f>
        <v/>
      </c>
      <c r="B411" s="15" t="str">
        <f aca="false">IF('Project Register'!$A411="","",'Project Register'!B411)</f>
        <v/>
      </c>
      <c r="C411" s="15" t="str">
        <f aca="false">IF('Project Register'!$A411="","",IF(OR('Project Register'!E411="",'Project Register'!F411=""),"",IF('Project Register'!F411&lt;'Project Register'!E411,0,NETWORKDAYS.INTL('Project Register'!E411,'Project Register'!F411,"0000110",Holidays_Leave!$A$3:$A$62))))</f>
        <v/>
      </c>
      <c r="D411" s="15" t="str">
        <f aca="false">IF('Project Register'!$A411="","",('Project Register'!H411&lt;&gt;"")+('Project Register'!J411&lt;&gt;"")+('Project Register'!L411&lt;&gt;""))</f>
        <v/>
      </c>
      <c r="E411" s="16" t="str">
        <f aca="false">IF(OR(C411="",D411="",'Project Register'!G411=""),"",IF(OR(C411=0,D411=0),"",'Project Register'!G411/(C411*D411)))</f>
        <v/>
      </c>
      <c r="F411" s="15" t="str">
        <f aca="false">IF('Project Register'!$A411="","",TRIM(IF(OR('Project Register'!E411="",'Project Register'!F411=""),"Missing date. ","")&amp;IF(AND('Project Register'!E411&lt;&gt;"",'Project Register'!F411&lt;&gt;"",'Project Register'!F411&lt;'Project Register'!E411),"End before start. ","")&amp;IF(NOT(ISNUMBER('Project Register'!G411)),"Effort missing. ","")&amp;IF(D411=0,"No resource. ","")&amp;IF(AND('Project Register'!H411&lt;&gt;"",'Project Register'!I411=""),"Role 1 missing. ","")&amp;IF(AND('Project Register'!J411&lt;&gt;"",'Project Register'!K411=""),"Role 2 missing. ","")&amp;IF(AND('Project Register'!L411&lt;&gt;"",'Project Register'!M411=""),"Role 3 missing. ","")&amp;IF(OR(AND('Project Register'!H411&lt;&gt;"",'Project Register'!H411='Project Register'!J411),AND('Project Register'!H411&lt;&gt;"",'Project Register'!H411='Project Register'!L411),AND('Project Register'!J411&lt;&gt;"",'Project Register'!J411='Project Register'!L411)),"Same person listed twice. ","")&amp;IF(AND('Project Register'!H411&lt;&gt;"",COUNTIF(Resources!$A$2:$A$51,'Project Register'!H411)=0),"Resource 1 not in Resources sheet. ","")&amp;IF(AND('Project Register'!J411&lt;&gt;"",COUNTIF(Resources!$A$2:$A$51,'Project Register'!J411)=0),"Resource 2 not in Resources sheet. ","")&amp;IF(AND('Project Register'!L411&lt;&gt;"",COUNTIF(Resources!$A$2:$A$51,'Project Register'!L411)=0),"Resource 3 not in Resources sheet. ","")&amp;IF('Project Register'!O411="","Test Status missing. ","")&amp;IF(AND(ISNUMBER(E411),E411&gt;1),"This task alone needs over 100% per person. ","")&amp;IF(AND('Project Register'!Q411="Deployed in Live",'Project Register'!R411=""),"Release Date blank (import date will be used). ","")))</f>
        <v/>
      </c>
      <c r="G411" s="17" t="str">
        <f aca="false">IF('Project Register'!$A411="","",IF(F411="","OK","Check"))</f>
        <v/>
      </c>
    </row>
    <row r="412" customFormat="false" ht="15" hidden="false" customHeight="false" outlineLevel="0" collapsed="false">
      <c r="A412" s="15" t="str">
        <f aca="false">IF('Project Register'!$A412="","",ROW('Project Register'!A412))</f>
        <v/>
      </c>
      <c r="B412" s="15" t="str">
        <f aca="false">IF('Project Register'!$A412="","",'Project Register'!B412)</f>
        <v/>
      </c>
      <c r="C412" s="15" t="str">
        <f aca="false">IF('Project Register'!$A412="","",IF(OR('Project Register'!E412="",'Project Register'!F412=""),"",IF('Project Register'!F412&lt;'Project Register'!E412,0,NETWORKDAYS.INTL('Project Register'!E412,'Project Register'!F412,"0000110",Holidays_Leave!$A$3:$A$62))))</f>
        <v/>
      </c>
      <c r="D412" s="15" t="str">
        <f aca="false">IF('Project Register'!$A412="","",('Project Register'!H412&lt;&gt;"")+('Project Register'!J412&lt;&gt;"")+('Project Register'!L412&lt;&gt;""))</f>
        <v/>
      </c>
      <c r="E412" s="16" t="str">
        <f aca="false">IF(OR(C412="",D412="",'Project Register'!G412=""),"",IF(OR(C412=0,D412=0),"",'Project Register'!G412/(C412*D412)))</f>
        <v/>
      </c>
      <c r="F412" s="15" t="str">
        <f aca="false">IF('Project Register'!$A412="","",TRIM(IF(OR('Project Register'!E412="",'Project Register'!F412=""),"Missing date. ","")&amp;IF(AND('Project Register'!E412&lt;&gt;"",'Project Register'!F412&lt;&gt;"",'Project Register'!F412&lt;'Project Register'!E412),"End before start. ","")&amp;IF(NOT(ISNUMBER('Project Register'!G412)),"Effort missing. ","")&amp;IF(D412=0,"No resource. ","")&amp;IF(AND('Project Register'!H412&lt;&gt;"",'Project Register'!I412=""),"Role 1 missing. ","")&amp;IF(AND('Project Register'!J412&lt;&gt;"",'Project Register'!K412=""),"Role 2 missing. ","")&amp;IF(AND('Project Register'!L412&lt;&gt;"",'Project Register'!M412=""),"Role 3 missing. ","")&amp;IF(OR(AND('Project Register'!H412&lt;&gt;"",'Project Register'!H412='Project Register'!J412),AND('Project Register'!H412&lt;&gt;"",'Project Register'!H412='Project Register'!L412),AND('Project Register'!J412&lt;&gt;"",'Project Register'!J412='Project Register'!L412)),"Same person listed twice. ","")&amp;IF(AND('Project Register'!H412&lt;&gt;"",COUNTIF(Resources!$A$2:$A$51,'Project Register'!H412)=0),"Resource 1 not in Resources sheet. ","")&amp;IF(AND('Project Register'!J412&lt;&gt;"",COUNTIF(Resources!$A$2:$A$51,'Project Register'!J412)=0),"Resource 2 not in Resources sheet. ","")&amp;IF(AND('Project Register'!L412&lt;&gt;"",COUNTIF(Resources!$A$2:$A$51,'Project Register'!L412)=0),"Resource 3 not in Resources sheet. ","")&amp;IF('Project Register'!O412="","Test Status missing. ","")&amp;IF(AND(ISNUMBER(E412),E412&gt;1),"This task alone needs over 100% per person. ","")&amp;IF(AND('Project Register'!Q412="Deployed in Live",'Project Register'!R412=""),"Release Date blank (import date will be used). ","")))</f>
        <v/>
      </c>
      <c r="G412" s="17" t="str">
        <f aca="false">IF('Project Register'!$A412="","",IF(F412="","OK","Check"))</f>
        <v/>
      </c>
    </row>
    <row r="413" customFormat="false" ht="15" hidden="false" customHeight="false" outlineLevel="0" collapsed="false">
      <c r="A413" s="15" t="str">
        <f aca="false">IF('Project Register'!$A413="","",ROW('Project Register'!A413))</f>
        <v/>
      </c>
      <c r="B413" s="15" t="str">
        <f aca="false">IF('Project Register'!$A413="","",'Project Register'!B413)</f>
        <v/>
      </c>
      <c r="C413" s="15" t="str">
        <f aca="false">IF('Project Register'!$A413="","",IF(OR('Project Register'!E413="",'Project Register'!F413=""),"",IF('Project Register'!F413&lt;'Project Register'!E413,0,NETWORKDAYS.INTL('Project Register'!E413,'Project Register'!F413,"0000110",Holidays_Leave!$A$3:$A$62))))</f>
        <v/>
      </c>
      <c r="D413" s="15" t="str">
        <f aca="false">IF('Project Register'!$A413="","",('Project Register'!H413&lt;&gt;"")+('Project Register'!J413&lt;&gt;"")+('Project Register'!L413&lt;&gt;""))</f>
        <v/>
      </c>
      <c r="E413" s="16" t="str">
        <f aca="false">IF(OR(C413="",D413="",'Project Register'!G413=""),"",IF(OR(C413=0,D413=0),"",'Project Register'!G413/(C413*D413)))</f>
        <v/>
      </c>
      <c r="F413" s="15" t="str">
        <f aca="false">IF('Project Register'!$A413="","",TRIM(IF(OR('Project Register'!E413="",'Project Register'!F413=""),"Missing date. ","")&amp;IF(AND('Project Register'!E413&lt;&gt;"",'Project Register'!F413&lt;&gt;"",'Project Register'!F413&lt;'Project Register'!E413),"End before start. ","")&amp;IF(NOT(ISNUMBER('Project Register'!G413)),"Effort missing. ","")&amp;IF(D413=0,"No resource. ","")&amp;IF(AND('Project Register'!H413&lt;&gt;"",'Project Register'!I413=""),"Role 1 missing. ","")&amp;IF(AND('Project Register'!J413&lt;&gt;"",'Project Register'!K413=""),"Role 2 missing. ","")&amp;IF(AND('Project Register'!L413&lt;&gt;"",'Project Register'!M413=""),"Role 3 missing. ","")&amp;IF(OR(AND('Project Register'!H413&lt;&gt;"",'Project Register'!H413='Project Register'!J413),AND('Project Register'!H413&lt;&gt;"",'Project Register'!H413='Project Register'!L413),AND('Project Register'!J413&lt;&gt;"",'Project Register'!J413='Project Register'!L413)),"Same person listed twice. ","")&amp;IF(AND('Project Register'!H413&lt;&gt;"",COUNTIF(Resources!$A$2:$A$51,'Project Register'!H413)=0),"Resource 1 not in Resources sheet. ","")&amp;IF(AND('Project Register'!J413&lt;&gt;"",COUNTIF(Resources!$A$2:$A$51,'Project Register'!J413)=0),"Resource 2 not in Resources sheet. ","")&amp;IF(AND('Project Register'!L413&lt;&gt;"",COUNTIF(Resources!$A$2:$A$51,'Project Register'!L413)=0),"Resource 3 not in Resources sheet. ","")&amp;IF('Project Register'!O413="","Test Status missing. ","")&amp;IF(AND(ISNUMBER(E413),E413&gt;1),"This task alone needs over 100% per person. ","")&amp;IF(AND('Project Register'!Q413="Deployed in Live",'Project Register'!R413=""),"Release Date blank (import date will be used). ","")))</f>
        <v/>
      </c>
      <c r="G413" s="17" t="str">
        <f aca="false">IF('Project Register'!$A413="","",IF(F413="","OK","Check"))</f>
        <v/>
      </c>
    </row>
    <row r="414" customFormat="false" ht="15" hidden="false" customHeight="false" outlineLevel="0" collapsed="false">
      <c r="A414" s="15" t="str">
        <f aca="false">IF('Project Register'!$A414="","",ROW('Project Register'!A414))</f>
        <v/>
      </c>
      <c r="B414" s="15" t="str">
        <f aca="false">IF('Project Register'!$A414="","",'Project Register'!B414)</f>
        <v/>
      </c>
      <c r="C414" s="15" t="str">
        <f aca="false">IF('Project Register'!$A414="","",IF(OR('Project Register'!E414="",'Project Register'!F414=""),"",IF('Project Register'!F414&lt;'Project Register'!E414,0,NETWORKDAYS.INTL('Project Register'!E414,'Project Register'!F414,"0000110",Holidays_Leave!$A$3:$A$62))))</f>
        <v/>
      </c>
      <c r="D414" s="15" t="str">
        <f aca="false">IF('Project Register'!$A414="","",('Project Register'!H414&lt;&gt;"")+('Project Register'!J414&lt;&gt;"")+('Project Register'!L414&lt;&gt;""))</f>
        <v/>
      </c>
      <c r="E414" s="16" t="str">
        <f aca="false">IF(OR(C414="",D414="",'Project Register'!G414=""),"",IF(OR(C414=0,D414=0),"",'Project Register'!G414/(C414*D414)))</f>
        <v/>
      </c>
      <c r="F414" s="15" t="str">
        <f aca="false">IF('Project Register'!$A414="","",TRIM(IF(OR('Project Register'!E414="",'Project Register'!F414=""),"Missing date. ","")&amp;IF(AND('Project Register'!E414&lt;&gt;"",'Project Register'!F414&lt;&gt;"",'Project Register'!F414&lt;'Project Register'!E414),"End before start. ","")&amp;IF(NOT(ISNUMBER('Project Register'!G414)),"Effort missing. ","")&amp;IF(D414=0,"No resource. ","")&amp;IF(AND('Project Register'!H414&lt;&gt;"",'Project Register'!I414=""),"Role 1 missing. ","")&amp;IF(AND('Project Register'!J414&lt;&gt;"",'Project Register'!K414=""),"Role 2 missing. ","")&amp;IF(AND('Project Register'!L414&lt;&gt;"",'Project Register'!M414=""),"Role 3 missing. ","")&amp;IF(OR(AND('Project Register'!H414&lt;&gt;"",'Project Register'!H414='Project Register'!J414),AND('Project Register'!H414&lt;&gt;"",'Project Register'!H414='Project Register'!L414),AND('Project Register'!J414&lt;&gt;"",'Project Register'!J414='Project Register'!L414)),"Same person listed twice. ","")&amp;IF(AND('Project Register'!H414&lt;&gt;"",COUNTIF(Resources!$A$2:$A$51,'Project Register'!H414)=0),"Resource 1 not in Resources sheet. ","")&amp;IF(AND('Project Register'!J414&lt;&gt;"",COUNTIF(Resources!$A$2:$A$51,'Project Register'!J414)=0),"Resource 2 not in Resources sheet. ","")&amp;IF(AND('Project Register'!L414&lt;&gt;"",COUNTIF(Resources!$A$2:$A$51,'Project Register'!L414)=0),"Resource 3 not in Resources sheet. ","")&amp;IF('Project Register'!O414="","Test Status missing. ","")&amp;IF(AND(ISNUMBER(E414),E414&gt;1),"This task alone needs over 100% per person. ","")&amp;IF(AND('Project Register'!Q414="Deployed in Live",'Project Register'!R414=""),"Release Date blank (import date will be used). ","")))</f>
        <v/>
      </c>
      <c r="G414" s="17" t="str">
        <f aca="false">IF('Project Register'!$A414="","",IF(F414="","OK","Check"))</f>
        <v/>
      </c>
    </row>
    <row r="415" customFormat="false" ht="15" hidden="false" customHeight="false" outlineLevel="0" collapsed="false">
      <c r="A415" s="15" t="str">
        <f aca="false">IF('Project Register'!$A415="","",ROW('Project Register'!A415))</f>
        <v/>
      </c>
      <c r="B415" s="15" t="str">
        <f aca="false">IF('Project Register'!$A415="","",'Project Register'!B415)</f>
        <v/>
      </c>
      <c r="C415" s="15" t="str">
        <f aca="false">IF('Project Register'!$A415="","",IF(OR('Project Register'!E415="",'Project Register'!F415=""),"",IF('Project Register'!F415&lt;'Project Register'!E415,0,NETWORKDAYS.INTL('Project Register'!E415,'Project Register'!F415,"0000110",Holidays_Leave!$A$3:$A$62))))</f>
        <v/>
      </c>
      <c r="D415" s="15" t="str">
        <f aca="false">IF('Project Register'!$A415="","",('Project Register'!H415&lt;&gt;"")+('Project Register'!J415&lt;&gt;"")+('Project Register'!L415&lt;&gt;""))</f>
        <v/>
      </c>
      <c r="E415" s="16" t="str">
        <f aca="false">IF(OR(C415="",D415="",'Project Register'!G415=""),"",IF(OR(C415=0,D415=0),"",'Project Register'!G415/(C415*D415)))</f>
        <v/>
      </c>
      <c r="F415" s="15" t="str">
        <f aca="false">IF('Project Register'!$A415="","",TRIM(IF(OR('Project Register'!E415="",'Project Register'!F415=""),"Missing date. ","")&amp;IF(AND('Project Register'!E415&lt;&gt;"",'Project Register'!F415&lt;&gt;"",'Project Register'!F415&lt;'Project Register'!E415),"End before start. ","")&amp;IF(NOT(ISNUMBER('Project Register'!G415)),"Effort missing. ","")&amp;IF(D415=0,"No resource. ","")&amp;IF(AND('Project Register'!H415&lt;&gt;"",'Project Register'!I415=""),"Role 1 missing. ","")&amp;IF(AND('Project Register'!J415&lt;&gt;"",'Project Register'!K415=""),"Role 2 missing. ","")&amp;IF(AND('Project Register'!L415&lt;&gt;"",'Project Register'!M415=""),"Role 3 missing. ","")&amp;IF(OR(AND('Project Register'!H415&lt;&gt;"",'Project Register'!H415='Project Register'!J415),AND('Project Register'!H415&lt;&gt;"",'Project Register'!H415='Project Register'!L415),AND('Project Register'!J415&lt;&gt;"",'Project Register'!J415='Project Register'!L415)),"Same person listed twice. ","")&amp;IF(AND('Project Register'!H415&lt;&gt;"",COUNTIF(Resources!$A$2:$A$51,'Project Register'!H415)=0),"Resource 1 not in Resources sheet. ","")&amp;IF(AND('Project Register'!J415&lt;&gt;"",COUNTIF(Resources!$A$2:$A$51,'Project Register'!J415)=0),"Resource 2 not in Resources sheet. ","")&amp;IF(AND('Project Register'!L415&lt;&gt;"",COUNTIF(Resources!$A$2:$A$51,'Project Register'!L415)=0),"Resource 3 not in Resources sheet. ","")&amp;IF('Project Register'!O415="","Test Status missing. ","")&amp;IF(AND(ISNUMBER(E415),E415&gt;1),"This task alone needs over 100% per person. ","")&amp;IF(AND('Project Register'!Q415="Deployed in Live",'Project Register'!R415=""),"Release Date blank (import date will be used). ","")))</f>
        <v/>
      </c>
      <c r="G415" s="17" t="str">
        <f aca="false">IF('Project Register'!$A415="","",IF(F415="","OK","Check"))</f>
        <v/>
      </c>
    </row>
    <row r="416" customFormat="false" ht="15" hidden="false" customHeight="false" outlineLevel="0" collapsed="false">
      <c r="A416" s="15" t="str">
        <f aca="false">IF('Project Register'!$A416="","",ROW('Project Register'!A416))</f>
        <v/>
      </c>
      <c r="B416" s="15" t="str">
        <f aca="false">IF('Project Register'!$A416="","",'Project Register'!B416)</f>
        <v/>
      </c>
      <c r="C416" s="15" t="str">
        <f aca="false">IF('Project Register'!$A416="","",IF(OR('Project Register'!E416="",'Project Register'!F416=""),"",IF('Project Register'!F416&lt;'Project Register'!E416,0,NETWORKDAYS.INTL('Project Register'!E416,'Project Register'!F416,"0000110",Holidays_Leave!$A$3:$A$62))))</f>
        <v/>
      </c>
      <c r="D416" s="15" t="str">
        <f aca="false">IF('Project Register'!$A416="","",('Project Register'!H416&lt;&gt;"")+('Project Register'!J416&lt;&gt;"")+('Project Register'!L416&lt;&gt;""))</f>
        <v/>
      </c>
      <c r="E416" s="16" t="str">
        <f aca="false">IF(OR(C416="",D416="",'Project Register'!G416=""),"",IF(OR(C416=0,D416=0),"",'Project Register'!G416/(C416*D416)))</f>
        <v/>
      </c>
      <c r="F416" s="15" t="str">
        <f aca="false">IF('Project Register'!$A416="","",TRIM(IF(OR('Project Register'!E416="",'Project Register'!F416=""),"Missing date. ","")&amp;IF(AND('Project Register'!E416&lt;&gt;"",'Project Register'!F416&lt;&gt;"",'Project Register'!F416&lt;'Project Register'!E416),"End before start. ","")&amp;IF(NOT(ISNUMBER('Project Register'!G416)),"Effort missing. ","")&amp;IF(D416=0,"No resource. ","")&amp;IF(AND('Project Register'!H416&lt;&gt;"",'Project Register'!I416=""),"Role 1 missing. ","")&amp;IF(AND('Project Register'!J416&lt;&gt;"",'Project Register'!K416=""),"Role 2 missing. ","")&amp;IF(AND('Project Register'!L416&lt;&gt;"",'Project Register'!M416=""),"Role 3 missing. ","")&amp;IF(OR(AND('Project Register'!H416&lt;&gt;"",'Project Register'!H416='Project Register'!J416),AND('Project Register'!H416&lt;&gt;"",'Project Register'!H416='Project Register'!L416),AND('Project Register'!J416&lt;&gt;"",'Project Register'!J416='Project Register'!L416)),"Same person listed twice. ","")&amp;IF(AND('Project Register'!H416&lt;&gt;"",COUNTIF(Resources!$A$2:$A$51,'Project Register'!H416)=0),"Resource 1 not in Resources sheet. ","")&amp;IF(AND('Project Register'!J416&lt;&gt;"",COUNTIF(Resources!$A$2:$A$51,'Project Register'!J416)=0),"Resource 2 not in Resources sheet. ","")&amp;IF(AND('Project Register'!L416&lt;&gt;"",COUNTIF(Resources!$A$2:$A$51,'Project Register'!L416)=0),"Resource 3 not in Resources sheet. ","")&amp;IF('Project Register'!O416="","Test Status missing. ","")&amp;IF(AND(ISNUMBER(E416),E416&gt;1),"This task alone needs over 100% per person. ","")&amp;IF(AND('Project Register'!Q416="Deployed in Live",'Project Register'!R416=""),"Release Date blank (import date will be used). ","")))</f>
        <v/>
      </c>
      <c r="G416" s="17" t="str">
        <f aca="false">IF('Project Register'!$A416="","",IF(F416="","OK","Check"))</f>
        <v/>
      </c>
    </row>
    <row r="417" customFormat="false" ht="15" hidden="false" customHeight="false" outlineLevel="0" collapsed="false">
      <c r="A417" s="15" t="str">
        <f aca="false">IF('Project Register'!$A417="","",ROW('Project Register'!A417))</f>
        <v/>
      </c>
      <c r="B417" s="15" t="str">
        <f aca="false">IF('Project Register'!$A417="","",'Project Register'!B417)</f>
        <v/>
      </c>
      <c r="C417" s="15" t="str">
        <f aca="false">IF('Project Register'!$A417="","",IF(OR('Project Register'!E417="",'Project Register'!F417=""),"",IF('Project Register'!F417&lt;'Project Register'!E417,0,NETWORKDAYS.INTL('Project Register'!E417,'Project Register'!F417,"0000110",Holidays_Leave!$A$3:$A$62))))</f>
        <v/>
      </c>
      <c r="D417" s="15" t="str">
        <f aca="false">IF('Project Register'!$A417="","",('Project Register'!H417&lt;&gt;"")+('Project Register'!J417&lt;&gt;"")+('Project Register'!L417&lt;&gt;""))</f>
        <v/>
      </c>
      <c r="E417" s="16" t="str">
        <f aca="false">IF(OR(C417="",D417="",'Project Register'!G417=""),"",IF(OR(C417=0,D417=0),"",'Project Register'!G417/(C417*D417)))</f>
        <v/>
      </c>
      <c r="F417" s="15" t="str">
        <f aca="false">IF('Project Register'!$A417="","",TRIM(IF(OR('Project Register'!E417="",'Project Register'!F417=""),"Missing date. ","")&amp;IF(AND('Project Register'!E417&lt;&gt;"",'Project Register'!F417&lt;&gt;"",'Project Register'!F417&lt;'Project Register'!E417),"End before start. ","")&amp;IF(NOT(ISNUMBER('Project Register'!G417)),"Effort missing. ","")&amp;IF(D417=0,"No resource. ","")&amp;IF(AND('Project Register'!H417&lt;&gt;"",'Project Register'!I417=""),"Role 1 missing. ","")&amp;IF(AND('Project Register'!J417&lt;&gt;"",'Project Register'!K417=""),"Role 2 missing. ","")&amp;IF(AND('Project Register'!L417&lt;&gt;"",'Project Register'!M417=""),"Role 3 missing. ","")&amp;IF(OR(AND('Project Register'!H417&lt;&gt;"",'Project Register'!H417='Project Register'!J417),AND('Project Register'!H417&lt;&gt;"",'Project Register'!H417='Project Register'!L417),AND('Project Register'!J417&lt;&gt;"",'Project Register'!J417='Project Register'!L417)),"Same person listed twice. ","")&amp;IF(AND('Project Register'!H417&lt;&gt;"",COUNTIF(Resources!$A$2:$A$51,'Project Register'!H417)=0),"Resource 1 not in Resources sheet. ","")&amp;IF(AND('Project Register'!J417&lt;&gt;"",COUNTIF(Resources!$A$2:$A$51,'Project Register'!J417)=0),"Resource 2 not in Resources sheet. ","")&amp;IF(AND('Project Register'!L417&lt;&gt;"",COUNTIF(Resources!$A$2:$A$51,'Project Register'!L417)=0),"Resource 3 not in Resources sheet. ","")&amp;IF('Project Register'!O417="","Test Status missing. ","")&amp;IF(AND(ISNUMBER(E417),E417&gt;1),"This task alone needs over 100% per person. ","")&amp;IF(AND('Project Register'!Q417="Deployed in Live",'Project Register'!R417=""),"Release Date blank (import date will be used). ","")))</f>
        <v/>
      </c>
      <c r="G417" s="17" t="str">
        <f aca="false">IF('Project Register'!$A417="","",IF(F417="","OK","Check"))</f>
        <v/>
      </c>
    </row>
    <row r="418" customFormat="false" ht="15" hidden="false" customHeight="false" outlineLevel="0" collapsed="false">
      <c r="A418" s="15" t="str">
        <f aca="false">IF('Project Register'!$A418="","",ROW('Project Register'!A418))</f>
        <v/>
      </c>
      <c r="B418" s="15" t="str">
        <f aca="false">IF('Project Register'!$A418="","",'Project Register'!B418)</f>
        <v/>
      </c>
      <c r="C418" s="15" t="str">
        <f aca="false">IF('Project Register'!$A418="","",IF(OR('Project Register'!E418="",'Project Register'!F418=""),"",IF('Project Register'!F418&lt;'Project Register'!E418,0,NETWORKDAYS.INTL('Project Register'!E418,'Project Register'!F418,"0000110",Holidays_Leave!$A$3:$A$62))))</f>
        <v/>
      </c>
      <c r="D418" s="15" t="str">
        <f aca="false">IF('Project Register'!$A418="","",('Project Register'!H418&lt;&gt;"")+('Project Register'!J418&lt;&gt;"")+('Project Register'!L418&lt;&gt;""))</f>
        <v/>
      </c>
      <c r="E418" s="16" t="str">
        <f aca="false">IF(OR(C418="",D418="",'Project Register'!G418=""),"",IF(OR(C418=0,D418=0),"",'Project Register'!G418/(C418*D418)))</f>
        <v/>
      </c>
      <c r="F418" s="15" t="str">
        <f aca="false">IF('Project Register'!$A418="","",TRIM(IF(OR('Project Register'!E418="",'Project Register'!F418=""),"Missing date. ","")&amp;IF(AND('Project Register'!E418&lt;&gt;"",'Project Register'!F418&lt;&gt;"",'Project Register'!F418&lt;'Project Register'!E418),"End before start. ","")&amp;IF(NOT(ISNUMBER('Project Register'!G418)),"Effort missing. ","")&amp;IF(D418=0,"No resource. ","")&amp;IF(AND('Project Register'!H418&lt;&gt;"",'Project Register'!I418=""),"Role 1 missing. ","")&amp;IF(AND('Project Register'!J418&lt;&gt;"",'Project Register'!K418=""),"Role 2 missing. ","")&amp;IF(AND('Project Register'!L418&lt;&gt;"",'Project Register'!M418=""),"Role 3 missing. ","")&amp;IF(OR(AND('Project Register'!H418&lt;&gt;"",'Project Register'!H418='Project Register'!J418),AND('Project Register'!H418&lt;&gt;"",'Project Register'!H418='Project Register'!L418),AND('Project Register'!J418&lt;&gt;"",'Project Register'!J418='Project Register'!L418)),"Same person listed twice. ","")&amp;IF(AND('Project Register'!H418&lt;&gt;"",COUNTIF(Resources!$A$2:$A$51,'Project Register'!H418)=0),"Resource 1 not in Resources sheet. ","")&amp;IF(AND('Project Register'!J418&lt;&gt;"",COUNTIF(Resources!$A$2:$A$51,'Project Register'!J418)=0),"Resource 2 not in Resources sheet. ","")&amp;IF(AND('Project Register'!L418&lt;&gt;"",COUNTIF(Resources!$A$2:$A$51,'Project Register'!L418)=0),"Resource 3 not in Resources sheet. ","")&amp;IF('Project Register'!O418="","Test Status missing. ","")&amp;IF(AND(ISNUMBER(E418),E418&gt;1),"This task alone needs over 100% per person. ","")&amp;IF(AND('Project Register'!Q418="Deployed in Live",'Project Register'!R418=""),"Release Date blank (import date will be used). ","")))</f>
        <v/>
      </c>
      <c r="G418" s="17" t="str">
        <f aca="false">IF('Project Register'!$A418="","",IF(F418="","OK","Check"))</f>
        <v/>
      </c>
    </row>
    <row r="419" customFormat="false" ht="15" hidden="false" customHeight="false" outlineLevel="0" collapsed="false">
      <c r="A419" s="15" t="str">
        <f aca="false">IF('Project Register'!$A419="","",ROW('Project Register'!A419))</f>
        <v/>
      </c>
      <c r="B419" s="15" t="str">
        <f aca="false">IF('Project Register'!$A419="","",'Project Register'!B419)</f>
        <v/>
      </c>
      <c r="C419" s="15" t="str">
        <f aca="false">IF('Project Register'!$A419="","",IF(OR('Project Register'!E419="",'Project Register'!F419=""),"",IF('Project Register'!F419&lt;'Project Register'!E419,0,NETWORKDAYS.INTL('Project Register'!E419,'Project Register'!F419,"0000110",Holidays_Leave!$A$3:$A$62))))</f>
        <v/>
      </c>
      <c r="D419" s="15" t="str">
        <f aca="false">IF('Project Register'!$A419="","",('Project Register'!H419&lt;&gt;"")+('Project Register'!J419&lt;&gt;"")+('Project Register'!L419&lt;&gt;""))</f>
        <v/>
      </c>
      <c r="E419" s="16" t="str">
        <f aca="false">IF(OR(C419="",D419="",'Project Register'!G419=""),"",IF(OR(C419=0,D419=0),"",'Project Register'!G419/(C419*D419)))</f>
        <v/>
      </c>
      <c r="F419" s="15" t="str">
        <f aca="false">IF('Project Register'!$A419="","",TRIM(IF(OR('Project Register'!E419="",'Project Register'!F419=""),"Missing date. ","")&amp;IF(AND('Project Register'!E419&lt;&gt;"",'Project Register'!F419&lt;&gt;"",'Project Register'!F419&lt;'Project Register'!E419),"End before start. ","")&amp;IF(NOT(ISNUMBER('Project Register'!G419)),"Effort missing. ","")&amp;IF(D419=0,"No resource. ","")&amp;IF(AND('Project Register'!H419&lt;&gt;"",'Project Register'!I419=""),"Role 1 missing. ","")&amp;IF(AND('Project Register'!J419&lt;&gt;"",'Project Register'!K419=""),"Role 2 missing. ","")&amp;IF(AND('Project Register'!L419&lt;&gt;"",'Project Register'!M419=""),"Role 3 missing. ","")&amp;IF(OR(AND('Project Register'!H419&lt;&gt;"",'Project Register'!H419='Project Register'!J419),AND('Project Register'!H419&lt;&gt;"",'Project Register'!H419='Project Register'!L419),AND('Project Register'!J419&lt;&gt;"",'Project Register'!J419='Project Register'!L419)),"Same person listed twice. ","")&amp;IF(AND('Project Register'!H419&lt;&gt;"",COUNTIF(Resources!$A$2:$A$51,'Project Register'!H419)=0),"Resource 1 not in Resources sheet. ","")&amp;IF(AND('Project Register'!J419&lt;&gt;"",COUNTIF(Resources!$A$2:$A$51,'Project Register'!J419)=0),"Resource 2 not in Resources sheet. ","")&amp;IF(AND('Project Register'!L419&lt;&gt;"",COUNTIF(Resources!$A$2:$A$51,'Project Register'!L419)=0),"Resource 3 not in Resources sheet. ","")&amp;IF('Project Register'!O419="","Test Status missing. ","")&amp;IF(AND(ISNUMBER(E419),E419&gt;1),"This task alone needs over 100% per person. ","")&amp;IF(AND('Project Register'!Q419="Deployed in Live",'Project Register'!R419=""),"Release Date blank (import date will be used). ","")))</f>
        <v/>
      </c>
      <c r="G419" s="17" t="str">
        <f aca="false">IF('Project Register'!$A419="","",IF(F419="","OK","Check"))</f>
        <v/>
      </c>
    </row>
    <row r="420" customFormat="false" ht="15" hidden="false" customHeight="false" outlineLevel="0" collapsed="false">
      <c r="A420" s="15" t="str">
        <f aca="false">IF('Project Register'!$A420="","",ROW('Project Register'!A420))</f>
        <v/>
      </c>
      <c r="B420" s="15" t="str">
        <f aca="false">IF('Project Register'!$A420="","",'Project Register'!B420)</f>
        <v/>
      </c>
      <c r="C420" s="15" t="str">
        <f aca="false">IF('Project Register'!$A420="","",IF(OR('Project Register'!E420="",'Project Register'!F420=""),"",IF('Project Register'!F420&lt;'Project Register'!E420,0,NETWORKDAYS.INTL('Project Register'!E420,'Project Register'!F420,"0000110",Holidays_Leave!$A$3:$A$62))))</f>
        <v/>
      </c>
      <c r="D420" s="15" t="str">
        <f aca="false">IF('Project Register'!$A420="","",('Project Register'!H420&lt;&gt;"")+('Project Register'!J420&lt;&gt;"")+('Project Register'!L420&lt;&gt;""))</f>
        <v/>
      </c>
      <c r="E420" s="16" t="str">
        <f aca="false">IF(OR(C420="",D420="",'Project Register'!G420=""),"",IF(OR(C420=0,D420=0),"",'Project Register'!G420/(C420*D420)))</f>
        <v/>
      </c>
      <c r="F420" s="15" t="str">
        <f aca="false">IF('Project Register'!$A420="","",TRIM(IF(OR('Project Register'!E420="",'Project Register'!F420=""),"Missing date. ","")&amp;IF(AND('Project Register'!E420&lt;&gt;"",'Project Register'!F420&lt;&gt;"",'Project Register'!F420&lt;'Project Register'!E420),"End before start. ","")&amp;IF(NOT(ISNUMBER('Project Register'!G420)),"Effort missing. ","")&amp;IF(D420=0,"No resource. ","")&amp;IF(AND('Project Register'!H420&lt;&gt;"",'Project Register'!I420=""),"Role 1 missing. ","")&amp;IF(AND('Project Register'!J420&lt;&gt;"",'Project Register'!K420=""),"Role 2 missing. ","")&amp;IF(AND('Project Register'!L420&lt;&gt;"",'Project Register'!M420=""),"Role 3 missing. ","")&amp;IF(OR(AND('Project Register'!H420&lt;&gt;"",'Project Register'!H420='Project Register'!J420),AND('Project Register'!H420&lt;&gt;"",'Project Register'!H420='Project Register'!L420),AND('Project Register'!J420&lt;&gt;"",'Project Register'!J420='Project Register'!L420)),"Same person listed twice. ","")&amp;IF(AND('Project Register'!H420&lt;&gt;"",COUNTIF(Resources!$A$2:$A$51,'Project Register'!H420)=0),"Resource 1 not in Resources sheet. ","")&amp;IF(AND('Project Register'!J420&lt;&gt;"",COUNTIF(Resources!$A$2:$A$51,'Project Register'!J420)=0),"Resource 2 not in Resources sheet. ","")&amp;IF(AND('Project Register'!L420&lt;&gt;"",COUNTIF(Resources!$A$2:$A$51,'Project Register'!L420)=0),"Resource 3 not in Resources sheet. ","")&amp;IF('Project Register'!O420="","Test Status missing. ","")&amp;IF(AND(ISNUMBER(E420),E420&gt;1),"This task alone needs over 100% per person. ","")&amp;IF(AND('Project Register'!Q420="Deployed in Live",'Project Register'!R420=""),"Release Date blank (import date will be used). ","")))</f>
        <v/>
      </c>
      <c r="G420" s="17" t="str">
        <f aca="false">IF('Project Register'!$A420="","",IF(F420="","OK","Check"))</f>
        <v/>
      </c>
    </row>
    <row r="421" customFormat="false" ht="15" hidden="false" customHeight="false" outlineLevel="0" collapsed="false">
      <c r="A421" s="15" t="str">
        <f aca="false">IF('Project Register'!$A421="","",ROW('Project Register'!A421))</f>
        <v/>
      </c>
      <c r="B421" s="15" t="str">
        <f aca="false">IF('Project Register'!$A421="","",'Project Register'!B421)</f>
        <v/>
      </c>
      <c r="C421" s="15" t="str">
        <f aca="false">IF('Project Register'!$A421="","",IF(OR('Project Register'!E421="",'Project Register'!F421=""),"",IF('Project Register'!F421&lt;'Project Register'!E421,0,NETWORKDAYS.INTL('Project Register'!E421,'Project Register'!F421,"0000110",Holidays_Leave!$A$3:$A$62))))</f>
        <v/>
      </c>
      <c r="D421" s="15" t="str">
        <f aca="false">IF('Project Register'!$A421="","",('Project Register'!H421&lt;&gt;"")+('Project Register'!J421&lt;&gt;"")+('Project Register'!L421&lt;&gt;""))</f>
        <v/>
      </c>
      <c r="E421" s="16" t="str">
        <f aca="false">IF(OR(C421="",D421="",'Project Register'!G421=""),"",IF(OR(C421=0,D421=0),"",'Project Register'!G421/(C421*D421)))</f>
        <v/>
      </c>
      <c r="F421" s="15" t="str">
        <f aca="false">IF('Project Register'!$A421="","",TRIM(IF(OR('Project Register'!E421="",'Project Register'!F421=""),"Missing date. ","")&amp;IF(AND('Project Register'!E421&lt;&gt;"",'Project Register'!F421&lt;&gt;"",'Project Register'!F421&lt;'Project Register'!E421),"End before start. ","")&amp;IF(NOT(ISNUMBER('Project Register'!G421)),"Effort missing. ","")&amp;IF(D421=0,"No resource. ","")&amp;IF(AND('Project Register'!H421&lt;&gt;"",'Project Register'!I421=""),"Role 1 missing. ","")&amp;IF(AND('Project Register'!J421&lt;&gt;"",'Project Register'!K421=""),"Role 2 missing. ","")&amp;IF(AND('Project Register'!L421&lt;&gt;"",'Project Register'!M421=""),"Role 3 missing. ","")&amp;IF(OR(AND('Project Register'!H421&lt;&gt;"",'Project Register'!H421='Project Register'!J421),AND('Project Register'!H421&lt;&gt;"",'Project Register'!H421='Project Register'!L421),AND('Project Register'!J421&lt;&gt;"",'Project Register'!J421='Project Register'!L421)),"Same person listed twice. ","")&amp;IF(AND('Project Register'!H421&lt;&gt;"",COUNTIF(Resources!$A$2:$A$51,'Project Register'!H421)=0),"Resource 1 not in Resources sheet. ","")&amp;IF(AND('Project Register'!J421&lt;&gt;"",COUNTIF(Resources!$A$2:$A$51,'Project Register'!J421)=0),"Resource 2 not in Resources sheet. ","")&amp;IF(AND('Project Register'!L421&lt;&gt;"",COUNTIF(Resources!$A$2:$A$51,'Project Register'!L421)=0),"Resource 3 not in Resources sheet. ","")&amp;IF('Project Register'!O421="","Test Status missing. ","")&amp;IF(AND(ISNUMBER(E421),E421&gt;1),"This task alone needs over 100% per person. ","")&amp;IF(AND('Project Register'!Q421="Deployed in Live",'Project Register'!R421=""),"Release Date blank (import date will be used). ","")))</f>
        <v/>
      </c>
      <c r="G421" s="17" t="str">
        <f aca="false">IF('Project Register'!$A421="","",IF(F421="","OK","Check"))</f>
        <v/>
      </c>
    </row>
    <row r="422" customFormat="false" ht="15" hidden="false" customHeight="false" outlineLevel="0" collapsed="false">
      <c r="A422" s="15" t="str">
        <f aca="false">IF('Project Register'!$A422="","",ROW('Project Register'!A422))</f>
        <v/>
      </c>
      <c r="B422" s="15" t="str">
        <f aca="false">IF('Project Register'!$A422="","",'Project Register'!B422)</f>
        <v/>
      </c>
      <c r="C422" s="15" t="str">
        <f aca="false">IF('Project Register'!$A422="","",IF(OR('Project Register'!E422="",'Project Register'!F422=""),"",IF('Project Register'!F422&lt;'Project Register'!E422,0,NETWORKDAYS.INTL('Project Register'!E422,'Project Register'!F422,"0000110",Holidays_Leave!$A$3:$A$62))))</f>
        <v/>
      </c>
      <c r="D422" s="15" t="str">
        <f aca="false">IF('Project Register'!$A422="","",('Project Register'!H422&lt;&gt;"")+('Project Register'!J422&lt;&gt;"")+('Project Register'!L422&lt;&gt;""))</f>
        <v/>
      </c>
      <c r="E422" s="16" t="str">
        <f aca="false">IF(OR(C422="",D422="",'Project Register'!G422=""),"",IF(OR(C422=0,D422=0),"",'Project Register'!G422/(C422*D422)))</f>
        <v/>
      </c>
      <c r="F422" s="15" t="str">
        <f aca="false">IF('Project Register'!$A422="","",TRIM(IF(OR('Project Register'!E422="",'Project Register'!F422=""),"Missing date. ","")&amp;IF(AND('Project Register'!E422&lt;&gt;"",'Project Register'!F422&lt;&gt;"",'Project Register'!F422&lt;'Project Register'!E422),"End before start. ","")&amp;IF(NOT(ISNUMBER('Project Register'!G422)),"Effort missing. ","")&amp;IF(D422=0,"No resource. ","")&amp;IF(AND('Project Register'!H422&lt;&gt;"",'Project Register'!I422=""),"Role 1 missing. ","")&amp;IF(AND('Project Register'!J422&lt;&gt;"",'Project Register'!K422=""),"Role 2 missing. ","")&amp;IF(AND('Project Register'!L422&lt;&gt;"",'Project Register'!M422=""),"Role 3 missing. ","")&amp;IF(OR(AND('Project Register'!H422&lt;&gt;"",'Project Register'!H422='Project Register'!J422),AND('Project Register'!H422&lt;&gt;"",'Project Register'!H422='Project Register'!L422),AND('Project Register'!J422&lt;&gt;"",'Project Register'!J422='Project Register'!L422)),"Same person listed twice. ","")&amp;IF(AND('Project Register'!H422&lt;&gt;"",COUNTIF(Resources!$A$2:$A$51,'Project Register'!H422)=0),"Resource 1 not in Resources sheet. ","")&amp;IF(AND('Project Register'!J422&lt;&gt;"",COUNTIF(Resources!$A$2:$A$51,'Project Register'!J422)=0),"Resource 2 not in Resources sheet. ","")&amp;IF(AND('Project Register'!L422&lt;&gt;"",COUNTIF(Resources!$A$2:$A$51,'Project Register'!L422)=0),"Resource 3 not in Resources sheet. ","")&amp;IF('Project Register'!O422="","Test Status missing. ","")&amp;IF(AND(ISNUMBER(E422),E422&gt;1),"This task alone needs over 100% per person. ","")&amp;IF(AND('Project Register'!Q422="Deployed in Live",'Project Register'!R422=""),"Release Date blank (import date will be used). ","")))</f>
        <v/>
      </c>
      <c r="G422" s="17" t="str">
        <f aca="false">IF('Project Register'!$A422="","",IF(F422="","OK","Check"))</f>
        <v/>
      </c>
    </row>
    <row r="423" customFormat="false" ht="15" hidden="false" customHeight="false" outlineLevel="0" collapsed="false">
      <c r="A423" s="15" t="str">
        <f aca="false">IF('Project Register'!$A423="","",ROW('Project Register'!A423))</f>
        <v/>
      </c>
      <c r="B423" s="15" t="str">
        <f aca="false">IF('Project Register'!$A423="","",'Project Register'!B423)</f>
        <v/>
      </c>
      <c r="C423" s="15" t="str">
        <f aca="false">IF('Project Register'!$A423="","",IF(OR('Project Register'!E423="",'Project Register'!F423=""),"",IF('Project Register'!F423&lt;'Project Register'!E423,0,NETWORKDAYS.INTL('Project Register'!E423,'Project Register'!F423,"0000110",Holidays_Leave!$A$3:$A$62))))</f>
        <v/>
      </c>
      <c r="D423" s="15" t="str">
        <f aca="false">IF('Project Register'!$A423="","",('Project Register'!H423&lt;&gt;"")+('Project Register'!J423&lt;&gt;"")+('Project Register'!L423&lt;&gt;""))</f>
        <v/>
      </c>
      <c r="E423" s="16" t="str">
        <f aca="false">IF(OR(C423="",D423="",'Project Register'!G423=""),"",IF(OR(C423=0,D423=0),"",'Project Register'!G423/(C423*D423)))</f>
        <v/>
      </c>
      <c r="F423" s="15" t="str">
        <f aca="false">IF('Project Register'!$A423="","",TRIM(IF(OR('Project Register'!E423="",'Project Register'!F423=""),"Missing date. ","")&amp;IF(AND('Project Register'!E423&lt;&gt;"",'Project Register'!F423&lt;&gt;"",'Project Register'!F423&lt;'Project Register'!E423),"End before start. ","")&amp;IF(NOT(ISNUMBER('Project Register'!G423)),"Effort missing. ","")&amp;IF(D423=0,"No resource. ","")&amp;IF(AND('Project Register'!H423&lt;&gt;"",'Project Register'!I423=""),"Role 1 missing. ","")&amp;IF(AND('Project Register'!J423&lt;&gt;"",'Project Register'!K423=""),"Role 2 missing. ","")&amp;IF(AND('Project Register'!L423&lt;&gt;"",'Project Register'!M423=""),"Role 3 missing. ","")&amp;IF(OR(AND('Project Register'!H423&lt;&gt;"",'Project Register'!H423='Project Register'!J423),AND('Project Register'!H423&lt;&gt;"",'Project Register'!H423='Project Register'!L423),AND('Project Register'!J423&lt;&gt;"",'Project Register'!J423='Project Register'!L423)),"Same person listed twice. ","")&amp;IF(AND('Project Register'!H423&lt;&gt;"",COUNTIF(Resources!$A$2:$A$51,'Project Register'!H423)=0),"Resource 1 not in Resources sheet. ","")&amp;IF(AND('Project Register'!J423&lt;&gt;"",COUNTIF(Resources!$A$2:$A$51,'Project Register'!J423)=0),"Resource 2 not in Resources sheet. ","")&amp;IF(AND('Project Register'!L423&lt;&gt;"",COUNTIF(Resources!$A$2:$A$51,'Project Register'!L423)=0),"Resource 3 not in Resources sheet. ","")&amp;IF('Project Register'!O423="","Test Status missing. ","")&amp;IF(AND(ISNUMBER(E423),E423&gt;1),"This task alone needs over 100% per person. ","")&amp;IF(AND('Project Register'!Q423="Deployed in Live",'Project Register'!R423=""),"Release Date blank (import date will be used). ","")))</f>
        <v/>
      </c>
      <c r="G423" s="17" t="str">
        <f aca="false">IF('Project Register'!$A423="","",IF(F423="","OK","Check"))</f>
        <v/>
      </c>
    </row>
    <row r="424" customFormat="false" ht="15" hidden="false" customHeight="false" outlineLevel="0" collapsed="false">
      <c r="A424" s="15" t="str">
        <f aca="false">IF('Project Register'!$A424="","",ROW('Project Register'!A424))</f>
        <v/>
      </c>
      <c r="B424" s="15" t="str">
        <f aca="false">IF('Project Register'!$A424="","",'Project Register'!B424)</f>
        <v/>
      </c>
      <c r="C424" s="15" t="str">
        <f aca="false">IF('Project Register'!$A424="","",IF(OR('Project Register'!E424="",'Project Register'!F424=""),"",IF('Project Register'!F424&lt;'Project Register'!E424,0,NETWORKDAYS.INTL('Project Register'!E424,'Project Register'!F424,"0000110",Holidays_Leave!$A$3:$A$62))))</f>
        <v/>
      </c>
      <c r="D424" s="15" t="str">
        <f aca="false">IF('Project Register'!$A424="","",('Project Register'!H424&lt;&gt;"")+('Project Register'!J424&lt;&gt;"")+('Project Register'!L424&lt;&gt;""))</f>
        <v/>
      </c>
      <c r="E424" s="16" t="str">
        <f aca="false">IF(OR(C424="",D424="",'Project Register'!G424=""),"",IF(OR(C424=0,D424=0),"",'Project Register'!G424/(C424*D424)))</f>
        <v/>
      </c>
      <c r="F424" s="15" t="str">
        <f aca="false">IF('Project Register'!$A424="","",TRIM(IF(OR('Project Register'!E424="",'Project Register'!F424=""),"Missing date. ","")&amp;IF(AND('Project Register'!E424&lt;&gt;"",'Project Register'!F424&lt;&gt;"",'Project Register'!F424&lt;'Project Register'!E424),"End before start. ","")&amp;IF(NOT(ISNUMBER('Project Register'!G424)),"Effort missing. ","")&amp;IF(D424=0,"No resource. ","")&amp;IF(AND('Project Register'!H424&lt;&gt;"",'Project Register'!I424=""),"Role 1 missing. ","")&amp;IF(AND('Project Register'!J424&lt;&gt;"",'Project Register'!K424=""),"Role 2 missing. ","")&amp;IF(AND('Project Register'!L424&lt;&gt;"",'Project Register'!M424=""),"Role 3 missing. ","")&amp;IF(OR(AND('Project Register'!H424&lt;&gt;"",'Project Register'!H424='Project Register'!J424),AND('Project Register'!H424&lt;&gt;"",'Project Register'!H424='Project Register'!L424),AND('Project Register'!J424&lt;&gt;"",'Project Register'!J424='Project Register'!L424)),"Same person listed twice. ","")&amp;IF(AND('Project Register'!H424&lt;&gt;"",COUNTIF(Resources!$A$2:$A$51,'Project Register'!H424)=0),"Resource 1 not in Resources sheet. ","")&amp;IF(AND('Project Register'!J424&lt;&gt;"",COUNTIF(Resources!$A$2:$A$51,'Project Register'!J424)=0),"Resource 2 not in Resources sheet. ","")&amp;IF(AND('Project Register'!L424&lt;&gt;"",COUNTIF(Resources!$A$2:$A$51,'Project Register'!L424)=0),"Resource 3 not in Resources sheet. ","")&amp;IF('Project Register'!O424="","Test Status missing. ","")&amp;IF(AND(ISNUMBER(E424),E424&gt;1),"This task alone needs over 100% per person. ","")&amp;IF(AND('Project Register'!Q424="Deployed in Live",'Project Register'!R424=""),"Release Date blank (import date will be used). ","")))</f>
        <v/>
      </c>
      <c r="G424" s="17" t="str">
        <f aca="false">IF('Project Register'!$A424="","",IF(F424="","OK","Check"))</f>
        <v/>
      </c>
    </row>
    <row r="425" customFormat="false" ht="15" hidden="false" customHeight="false" outlineLevel="0" collapsed="false">
      <c r="A425" s="15" t="str">
        <f aca="false">IF('Project Register'!$A425="","",ROW('Project Register'!A425))</f>
        <v/>
      </c>
      <c r="B425" s="15" t="str">
        <f aca="false">IF('Project Register'!$A425="","",'Project Register'!B425)</f>
        <v/>
      </c>
      <c r="C425" s="15" t="str">
        <f aca="false">IF('Project Register'!$A425="","",IF(OR('Project Register'!E425="",'Project Register'!F425=""),"",IF('Project Register'!F425&lt;'Project Register'!E425,0,NETWORKDAYS.INTL('Project Register'!E425,'Project Register'!F425,"0000110",Holidays_Leave!$A$3:$A$62))))</f>
        <v/>
      </c>
      <c r="D425" s="15" t="str">
        <f aca="false">IF('Project Register'!$A425="","",('Project Register'!H425&lt;&gt;"")+('Project Register'!J425&lt;&gt;"")+('Project Register'!L425&lt;&gt;""))</f>
        <v/>
      </c>
      <c r="E425" s="16" t="str">
        <f aca="false">IF(OR(C425="",D425="",'Project Register'!G425=""),"",IF(OR(C425=0,D425=0),"",'Project Register'!G425/(C425*D425)))</f>
        <v/>
      </c>
      <c r="F425" s="15" t="str">
        <f aca="false">IF('Project Register'!$A425="","",TRIM(IF(OR('Project Register'!E425="",'Project Register'!F425=""),"Missing date. ","")&amp;IF(AND('Project Register'!E425&lt;&gt;"",'Project Register'!F425&lt;&gt;"",'Project Register'!F425&lt;'Project Register'!E425),"End before start. ","")&amp;IF(NOT(ISNUMBER('Project Register'!G425)),"Effort missing. ","")&amp;IF(D425=0,"No resource. ","")&amp;IF(AND('Project Register'!H425&lt;&gt;"",'Project Register'!I425=""),"Role 1 missing. ","")&amp;IF(AND('Project Register'!J425&lt;&gt;"",'Project Register'!K425=""),"Role 2 missing. ","")&amp;IF(AND('Project Register'!L425&lt;&gt;"",'Project Register'!M425=""),"Role 3 missing. ","")&amp;IF(OR(AND('Project Register'!H425&lt;&gt;"",'Project Register'!H425='Project Register'!J425),AND('Project Register'!H425&lt;&gt;"",'Project Register'!H425='Project Register'!L425),AND('Project Register'!J425&lt;&gt;"",'Project Register'!J425='Project Register'!L425)),"Same person listed twice. ","")&amp;IF(AND('Project Register'!H425&lt;&gt;"",COUNTIF(Resources!$A$2:$A$51,'Project Register'!H425)=0),"Resource 1 not in Resources sheet. ","")&amp;IF(AND('Project Register'!J425&lt;&gt;"",COUNTIF(Resources!$A$2:$A$51,'Project Register'!J425)=0),"Resource 2 not in Resources sheet. ","")&amp;IF(AND('Project Register'!L425&lt;&gt;"",COUNTIF(Resources!$A$2:$A$51,'Project Register'!L425)=0),"Resource 3 not in Resources sheet. ","")&amp;IF('Project Register'!O425="","Test Status missing. ","")&amp;IF(AND(ISNUMBER(E425),E425&gt;1),"This task alone needs over 100% per person. ","")&amp;IF(AND('Project Register'!Q425="Deployed in Live",'Project Register'!R425=""),"Release Date blank (import date will be used). ","")))</f>
        <v/>
      </c>
      <c r="G425" s="17" t="str">
        <f aca="false">IF('Project Register'!$A425="","",IF(F425="","OK","Check"))</f>
        <v/>
      </c>
    </row>
    <row r="426" customFormat="false" ht="15" hidden="false" customHeight="false" outlineLevel="0" collapsed="false">
      <c r="A426" s="15" t="str">
        <f aca="false">IF('Project Register'!$A426="","",ROW('Project Register'!A426))</f>
        <v/>
      </c>
      <c r="B426" s="15" t="str">
        <f aca="false">IF('Project Register'!$A426="","",'Project Register'!B426)</f>
        <v/>
      </c>
      <c r="C426" s="15" t="str">
        <f aca="false">IF('Project Register'!$A426="","",IF(OR('Project Register'!E426="",'Project Register'!F426=""),"",IF('Project Register'!F426&lt;'Project Register'!E426,0,NETWORKDAYS.INTL('Project Register'!E426,'Project Register'!F426,"0000110",Holidays_Leave!$A$3:$A$62))))</f>
        <v/>
      </c>
      <c r="D426" s="15" t="str">
        <f aca="false">IF('Project Register'!$A426="","",('Project Register'!H426&lt;&gt;"")+('Project Register'!J426&lt;&gt;"")+('Project Register'!L426&lt;&gt;""))</f>
        <v/>
      </c>
      <c r="E426" s="16" t="str">
        <f aca="false">IF(OR(C426="",D426="",'Project Register'!G426=""),"",IF(OR(C426=0,D426=0),"",'Project Register'!G426/(C426*D426)))</f>
        <v/>
      </c>
      <c r="F426" s="15" t="str">
        <f aca="false">IF('Project Register'!$A426="","",TRIM(IF(OR('Project Register'!E426="",'Project Register'!F426=""),"Missing date. ","")&amp;IF(AND('Project Register'!E426&lt;&gt;"",'Project Register'!F426&lt;&gt;"",'Project Register'!F426&lt;'Project Register'!E426),"End before start. ","")&amp;IF(NOT(ISNUMBER('Project Register'!G426)),"Effort missing. ","")&amp;IF(D426=0,"No resource. ","")&amp;IF(AND('Project Register'!H426&lt;&gt;"",'Project Register'!I426=""),"Role 1 missing. ","")&amp;IF(AND('Project Register'!J426&lt;&gt;"",'Project Register'!K426=""),"Role 2 missing. ","")&amp;IF(AND('Project Register'!L426&lt;&gt;"",'Project Register'!M426=""),"Role 3 missing. ","")&amp;IF(OR(AND('Project Register'!H426&lt;&gt;"",'Project Register'!H426='Project Register'!J426),AND('Project Register'!H426&lt;&gt;"",'Project Register'!H426='Project Register'!L426),AND('Project Register'!J426&lt;&gt;"",'Project Register'!J426='Project Register'!L426)),"Same person listed twice. ","")&amp;IF(AND('Project Register'!H426&lt;&gt;"",COUNTIF(Resources!$A$2:$A$51,'Project Register'!H426)=0),"Resource 1 not in Resources sheet. ","")&amp;IF(AND('Project Register'!J426&lt;&gt;"",COUNTIF(Resources!$A$2:$A$51,'Project Register'!J426)=0),"Resource 2 not in Resources sheet. ","")&amp;IF(AND('Project Register'!L426&lt;&gt;"",COUNTIF(Resources!$A$2:$A$51,'Project Register'!L426)=0),"Resource 3 not in Resources sheet. ","")&amp;IF('Project Register'!O426="","Test Status missing. ","")&amp;IF(AND(ISNUMBER(E426),E426&gt;1),"This task alone needs over 100% per person. ","")&amp;IF(AND('Project Register'!Q426="Deployed in Live",'Project Register'!R426=""),"Release Date blank (import date will be used). ","")))</f>
        <v/>
      </c>
      <c r="G426" s="17" t="str">
        <f aca="false">IF('Project Register'!$A426="","",IF(F426="","OK","Check"))</f>
        <v/>
      </c>
    </row>
    <row r="427" customFormat="false" ht="15" hidden="false" customHeight="false" outlineLevel="0" collapsed="false">
      <c r="A427" s="15" t="str">
        <f aca="false">IF('Project Register'!$A427="","",ROW('Project Register'!A427))</f>
        <v/>
      </c>
      <c r="B427" s="15" t="str">
        <f aca="false">IF('Project Register'!$A427="","",'Project Register'!B427)</f>
        <v/>
      </c>
      <c r="C427" s="15" t="str">
        <f aca="false">IF('Project Register'!$A427="","",IF(OR('Project Register'!E427="",'Project Register'!F427=""),"",IF('Project Register'!F427&lt;'Project Register'!E427,0,NETWORKDAYS.INTL('Project Register'!E427,'Project Register'!F427,"0000110",Holidays_Leave!$A$3:$A$62))))</f>
        <v/>
      </c>
      <c r="D427" s="15" t="str">
        <f aca="false">IF('Project Register'!$A427="","",('Project Register'!H427&lt;&gt;"")+('Project Register'!J427&lt;&gt;"")+('Project Register'!L427&lt;&gt;""))</f>
        <v/>
      </c>
      <c r="E427" s="16" t="str">
        <f aca="false">IF(OR(C427="",D427="",'Project Register'!G427=""),"",IF(OR(C427=0,D427=0),"",'Project Register'!G427/(C427*D427)))</f>
        <v/>
      </c>
      <c r="F427" s="15" t="str">
        <f aca="false">IF('Project Register'!$A427="","",TRIM(IF(OR('Project Register'!E427="",'Project Register'!F427=""),"Missing date. ","")&amp;IF(AND('Project Register'!E427&lt;&gt;"",'Project Register'!F427&lt;&gt;"",'Project Register'!F427&lt;'Project Register'!E427),"End before start. ","")&amp;IF(NOT(ISNUMBER('Project Register'!G427)),"Effort missing. ","")&amp;IF(D427=0,"No resource. ","")&amp;IF(AND('Project Register'!H427&lt;&gt;"",'Project Register'!I427=""),"Role 1 missing. ","")&amp;IF(AND('Project Register'!J427&lt;&gt;"",'Project Register'!K427=""),"Role 2 missing. ","")&amp;IF(AND('Project Register'!L427&lt;&gt;"",'Project Register'!M427=""),"Role 3 missing. ","")&amp;IF(OR(AND('Project Register'!H427&lt;&gt;"",'Project Register'!H427='Project Register'!J427),AND('Project Register'!H427&lt;&gt;"",'Project Register'!H427='Project Register'!L427),AND('Project Register'!J427&lt;&gt;"",'Project Register'!J427='Project Register'!L427)),"Same person listed twice. ","")&amp;IF(AND('Project Register'!H427&lt;&gt;"",COUNTIF(Resources!$A$2:$A$51,'Project Register'!H427)=0),"Resource 1 not in Resources sheet. ","")&amp;IF(AND('Project Register'!J427&lt;&gt;"",COUNTIF(Resources!$A$2:$A$51,'Project Register'!J427)=0),"Resource 2 not in Resources sheet. ","")&amp;IF(AND('Project Register'!L427&lt;&gt;"",COUNTIF(Resources!$A$2:$A$51,'Project Register'!L427)=0),"Resource 3 not in Resources sheet. ","")&amp;IF('Project Register'!O427="","Test Status missing. ","")&amp;IF(AND(ISNUMBER(E427),E427&gt;1),"This task alone needs over 100% per person. ","")&amp;IF(AND('Project Register'!Q427="Deployed in Live",'Project Register'!R427=""),"Release Date blank (import date will be used). ","")))</f>
        <v/>
      </c>
      <c r="G427" s="17" t="str">
        <f aca="false">IF('Project Register'!$A427="","",IF(F427="","OK","Check"))</f>
        <v/>
      </c>
    </row>
    <row r="428" customFormat="false" ht="15" hidden="false" customHeight="false" outlineLevel="0" collapsed="false">
      <c r="A428" s="15" t="str">
        <f aca="false">IF('Project Register'!$A428="","",ROW('Project Register'!A428))</f>
        <v/>
      </c>
      <c r="B428" s="15" t="str">
        <f aca="false">IF('Project Register'!$A428="","",'Project Register'!B428)</f>
        <v/>
      </c>
      <c r="C428" s="15" t="str">
        <f aca="false">IF('Project Register'!$A428="","",IF(OR('Project Register'!E428="",'Project Register'!F428=""),"",IF('Project Register'!F428&lt;'Project Register'!E428,0,NETWORKDAYS.INTL('Project Register'!E428,'Project Register'!F428,"0000110",Holidays_Leave!$A$3:$A$62))))</f>
        <v/>
      </c>
      <c r="D428" s="15" t="str">
        <f aca="false">IF('Project Register'!$A428="","",('Project Register'!H428&lt;&gt;"")+('Project Register'!J428&lt;&gt;"")+('Project Register'!L428&lt;&gt;""))</f>
        <v/>
      </c>
      <c r="E428" s="16" t="str">
        <f aca="false">IF(OR(C428="",D428="",'Project Register'!G428=""),"",IF(OR(C428=0,D428=0),"",'Project Register'!G428/(C428*D428)))</f>
        <v/>
      </c>
      <c r="F428" s="15" t="str">
        <f aca="false">IF('Project Register'!$A428="","",TRIM(IF(OR('Project Register'!E428="",'Project Register'!F428=""),"Missing date. ","")&amp;IF(AND('Project Register'!E428&lt;&gt;"",'Project Register'!F428&lt;&gt;"",'Project Register'!F428&lt;'Project Register'!E428),"End before start. ","")&amp;IF(NOT(ISNUMBER('Project Register'!G428)),"Effort missing. ","")&amp;IF(D428=0,"No resource. ","")&amp;IF(AND('Project Register'!H428&lt;&gt;"",'Project Register'!I428=""),"Role 1 missing. ","")&amp;IF(AND('Project Register'!J428&lt;&gt;"",'Project Register'!K428=""),"Role 2 missing. ","")&amp;IF(AND('Project Register'!L428&lt;&gt;"",'Project Register'!M428=""),"Role 3 missing. ","")&amp;IF(OR(AND('Project Register'!H428&lt;&gt;"",'Project Register'!H428='Project Register'!J428),AND('Project Register'!H428&lt;&gt;"",'Project Register'!H428='Project Register'!L428),AND('Project Register'!J428&lt;&gt;"",'Project Register'!J428='Project Register'!L428)),"Same person listed twice. ","")&amp;IF(AND('Project Register'!H428&lt;&gt;"",COUNTIF(Resources!$A$2:$A$51,'Project Register'!H428)=0),"Resource 1 not in Resources sheet. ","")&amp;IF(AND('Project Register'!J428&lt;&gt;"",COUNTIF(Resources!$A$2:$A$51,'Project Register'!J428)=0),"Resource 2 not in Resources sheet. ","")&amp;IF(AND('Project Register'!L428&lt;&gt;"",COUNTIF(Resources!$A$2:$A$51,'Project Register'!L428)=0),"Resource 3 not in Resources sheet. ","")&amp;IF('Project Register'!O428="","Test Status missing. ","")&amp;IF(AND(ISNUMBER(E428),E428&gt;1),"This task alone needs over 100% per person. ","")&amp;IF(AND('Project Register'!Q428="Deployed in Live",'Project Register'!R428=""),"Release Date blank (import date will be used). ","")))</f>
        <v/>
      </c>
      <c r="G428" s="17" t="str">
        <f aca="false">IF('Project Register'!$A428="","",IF(F428="","OK","Check"))</f>
        <v/>
      </c>
    </row>
    <row r="429" customFormat="false" ht="15" hidden="false" customHeight="false" outlineLevel="0" collapsed="false">
      <c r="A429" s="15" t="str">
        <f aca="false">IF('Project Register'!$A429="","",ROW('Project Register'!A429))</f>
        <v/>
      </c>
      <c r="B429" s="15" t="str">
        <f aca="false">IF('Project Register'!$A429="","",'Project Register'!B429)</f>
        <v/>
      </c>
      <c r="C429" s="15" t="str">
        <f aca="false">IF('Project Register'!$A429="","",IF(OR('Project Register'!E429="",'Project Register'!F429=""),"",IF('Project Register'!F429&lt;'Project Register'!E429,0,NETWORKDAYS.INTL('Project Register'!E429,'Project Register'!F429,"0000110",Holidays_Leave!$A$3:$A$62))))</f>
        <v/>
      </c>
      <c r="D429" s="15" t="str">
        <f aca="false">IF('Project Register'!$A429="","",('Project Register'!H429&lt;&gt;"")+('Project Register'!J429&lt;&gt;"")+('Project Register'!L429&lt;&gt;""))</f>
        <v/>
      </c>
      <c r="E429" s="16" t="str">
        <f aca="false">IF(OR(C429="",D429="",'Project Register'!G429=""),"",IF(OR(C429=0,D429=0),"",'Project Register'!G429/(C429*D429)))</f>
        <v/>
      </c>
      <c r="F429" s="15" t="str">
        <f aca="false">IF('Project Register'!$A429="","",TRIM(IF(OR('Project Register'!E429="",'Project Register'!F429=""),"Missing date. ","")&amp;IF(AND('Project Register'!E429&lt;&gt;"",'Project Register'!F429&lt;&gt;"",'Project Register'!F429&lt;'Project Register'!E429),"End before start. ","")&amp;IF(NOT(ISNUMBER('Project Register'!G429)),"Effort missing. ","")&amp;IF(D429=0,"No resource. ","")&amp;IF(AND('Project Register'!H429&lt;&gt;"",'Project Register'!I429=""),"Role 1 missing. ","")&amp;IF(AND('Project Register'!J429&lt;&gt;"",'Project Register'!K429=""),"Role 2 missing. ","")&amp;IF(AND('Project Register'!L429&lt;&gt;"",'Project Register'!M429=""),"Role 3 missing. ","")&amp;IF(OR(AND('Project Register'!H429&lt;&gt;"",'Project Register'!H429='Project Register'!J429),AND('Project Register'!H429&lt;&gt;"",'Project Register'!H429='Project Register'!L429),AND('Project Register'!J429&lt;&gt;"",'Project Register'!J429='Project Register'!L429)),"Same person listed twice. ","")&amp;IF(AND('Project Register'!H429&lt;&gt;"",COUNTIF(Resources!$A$2:$A$51,'Project Register'!H429)=0),"Resource 1 not in Resources sheet. ","")&amp;IF(AND('Project Register'!J429&lt;&gt;"",COUNTIF(Resources!$A$2:$A$51,'Project Register'!J429)=0),"Resource 2 not in Resources sheet. ","")&amp;IF(AND('Project Register'!L429&lt;&gt;"",COUNTIF(Resources!$A$2:$A$51,'Project Register'!L429)=0),"Resource 3 not in Resources sheet. ","")&amp;IF('Project Register'!O429="","Test Status missing. ","")&amp;IF(AND(ISNUMBER(E429),E429&gt;1),"This task alone needs over 100% per person. ","")&amp;IF(AND('Project Register'!Q429="Deployed in Live",'Project Register'!R429=""),"Release Date blank (import date will be used). ","")))</f>
        <v/>
      </c>
      <c r="G429" s="17" t="str">
        <f aca="false">IF('Project Register'!$A429="","",IF(F429="","OK","Check"))</f>
        <v/>
      </c>
    </row>
    <row r="430" customFormat="false" ht="15" hidden="false" customHeight="false" outlineLevel="0" collapsed="false">
      <c r="A430" s="15" t="str">
        <f aca="false">IF('Project Register'!$A430="","",ROW('Project Register'!A430))</f>
        <v/>
      </c>
      <c r="B430" s="15" t="str">
        <f aca="false">IF('Project Register'!$A430="","",'Project Register'!B430)</f>
        <v/>
      </c>
      <c r="C430" s="15" t="str">
        <f aca="false">IF('Project Register'!$A430="","",IF(OR('Project Register'!E430="",'Project Register'!F430=""),"",IF('Project Register'!F430&lt;'Project Register'!E430,0,NETWORKDAYS.INTL('Project Register'!E430,'Project Register'!F430,"0000110",Holidays_Leave!$A$3:$A$62))))</f>
        <v/>
      </c>
      <c r="D430" s="15" t="str">
        <f aca="false">IF('Project Register'!$A430="","",('Project Register'!H430&lt;&gt;"")+('Project Register'!J430&lt;&gt;"")+('Project Register'!L430&lt;&gt;""))</f>
        <v/>
      </c>
      <c r="E430" s="16" t="str">
        <f aca="false">IF(OR(C430="",D430="",'Project Register'!G430=""),"",IF(OR(C430=0,D430=0),"",'Project Register'!G430/(C430*D430)))</f>
        <v/>
      </c>
      <c r="F430" s="15" t="str">
        <f aca="false">IF('Project Register'!$A430="","",TRIM(IF(OR('Project Register'!E430="",'Project Register'!F430=""),"Missing date. ","")&amp;IF(AND('Project Register'!E430&lt;&gt;"",'Project Register'!F430&lt;&gt;"",'Project Register'!F430&lt;'Project Register'!E430),"End before start. ","")&amp;IF(NOT(ISNUMBER('Project Register'!G430)),"Effort missing. ","")&amp;IF(D430=0,"No resource. ","")&amp;IF(AND('Project Register'!H430&lt;&gt;"",'Project Register'!I430=""),"Role 1 missing. ","")&amp;IF(AND('Project Register'!J430&lt;&gt;"",'Project Register'!K430=""),"Role 2 missing. ","")&amp;IF(AND('Project Register'!L430&lt;&gt;"",'Project Register'!M430=""),"Role 3 missing. ","")&amp;IF(OR(AND('Project Register'!H430&lt;&gt;"",'Project Register'!H430='Project Register'!J430),AND('Project Register'!H430&lt;&gt;"",'Project Register'!H430='Project Register'!L430),AND('Project Register'!J430&lt;&gt;"",'Project Register'!J430='Project Register'!L430)),"Same person listed twice. ","")&amp;IF(AND('Project Register'!H430&lt;&gt;"",COUNTIF(Resources!$A$2:$A$51,'Project Register'!H430)=0),"Resource 1 not in Resources sheet. ","")&amp;IF(AND('Project Register'!J430&lt;&gt;"",COUNTIF(Resources!$A$2:$A$51,'Project Register'!J430)=0),"Resource 2 not in Resources sheet. ","")&amp;IF(AND('Project Register'!L430&lt;&gt;"",COUNTIF(Resources!$A$2:$A$51,'Project Register'!L430)=0),"Resource 3 not in Resources sheet. ","")&amp;IF('Project Register'!O430="","Test Status missing. ","")&amp;IF(AND(ISNUMBER(E430),E430&gt;1),"This task alone needs over 100% per person. ","")&amp;IF(AND('Project Register'!Q430="Deployed in Live",'Project Register'!R430=""),"Release Date blank (import date will be used). ","")))</f>
        <v/>
      </c>
      <c r="G430" s="17" t="str">
        <f aca="false">IF('Project Register'!$A430="","",IF(F430="","OK","Check"))</f>
        <v/>
      </c>
    </row>
    <row r="431" customFormat="false" ht="15" hidden="false" customHeight="false" outlineLevel="0" collapsed="false">
      <c r="A431" s="15" t="str">
        <f aca="false">IF('Project Register'!$A431="","",ROW('Project Register'!A431))</f>
        <v/>
      </c>
      <c r="B431" s="15" t="str">
        <f aca="false">IF('Project Register'!$A431="","",'Project Register'!B431)</f>
        <v/>
      </c>
      <c r="C431" s="15" t="str">
        <f aca="false">IF('Project Register'!$A431="","",IF(OR('Project Register'!E431="",'Project Register'!F431=""),"",IF('Project Register'!F431&lt;'Project Register'!E431,0,NETWORKDAYS.INTL('Project Register'!E431,'Project Register'!F431,"0000110",Holidays_Leave!$A$3:$A$62))))</f>
        <v/>
      </c>
      <c r="D431" s="15" t="str">
        <f aca="false">IF('Project Register'!$A431="","",('Project Register'!H431&lt;&gt;"")+('Project Register'!J431&lt;&gt;"")+('Project Register'!L431&lt;&gt;""))</f>
        <v/>
      </c>
      <c r="E431" s="16" t="str">
        <f aca="false">IF(OR(C431="",D431="",'Project Register'!G431=""),"",IF(OR(C431=0,D431=0),"",'Project Register'!G431/(C431*D431)))</f>
        <v/>
      </c>
      <c r="F431" s="15" t="str">
        <f aca="false">IF('Project Register'!$A431="","",TRIM(IF(OR('Project Register'!E431="",'Project Register'!F431=""),"Missing date. ","")&amp;IF(AND('Project Register'!E431&lt;&gt;"",'Project Register'!F431&lt;&gt;"",'Project Register'!F431&lt;'Project Register'!E431),"End before start. ","")&amp;IF(NOT(ISNUMBER('Project Register'!G431)),"Effort missing. ","")&amp;IF(D431=0,"No resource. ","")&amp;IF(AND('Project Register'!H431&lt;&gt;"",'Project Register'!I431=""),"Role 1 missing. ","")&amp;IF(AND('Project Register'!J431&lt;&gt;"",'Project Register'!K431=""),"Role 2 missing. ","")&amp;IF(AND('Project Register'!L431&lt;&gt;"",'Project Register'!M431=""),"Role 3 missing. ","")&amp;IF(OR(AND('Project Register'!H431&lt;&gt;"",'Project Register'!H431='Project Register'!J431),AND('Project Register'!H431&lt;&gt;"",'Project Register'!H431='Project Register'!L431),AND('Project Register'!J431&lt;&gt;"",'Project Register'!J431='Project Register'!L431)),"Same person listed twice. ","")&amp;IF(AND('Project Register'!H431&lt;&gt;"",COUNTIF(Resources!$A$2:$A$51,'Project Register'!H431)=0),"Resource 1 not in Resources sheet. ","")&amp;IF(AND('Project Register'!J431&lt;&gt;"",COUNTIF(Resources!$A$2:$A$51,'Project Register'!J431)=0),"Resource 2 not in Resources sheet. ","")&amp;IF(AND('Project Register'!L431&lt;&gt;"",COUNTIF(Resources!$A$2:$A$51,'Project Register'!L431)=0),"Resource 3 not in Resources sheet. ","")&amp;IF('Project Register'!O431="","Test Status missing. ","")&amp;IF(AND(ISNUMBER(E431),E431&gt;1),"This task alone needs over 100% per person. ","")&amp;IF(AND('Project Register'!Q431="Deployed in Live",'Project Register'!R431=""),"Release Date blank (import date will be used). ","")))</f>
        <v/>
      </c>
      <c r="G431" s="17" t="str">
        <f aca="false">IF('Project Register'!$A431="","",IF(F431="","OK","Check"))</f>
        <v/>
      </c>
    </row>
    <row r="432" customFormat="false" ht="15" hidden="false" customHeight="false" outlineLevel="0" collapsed="false">
      <c r="A432" s="15" t="str">
        <f aca="false">IF('Project Register'!$A432="","",ROW('Project Register'!A432))</f>
        <v/>
      </c>
      <c r="B432" s="15" t="str">
        <f aca="false">IF('Project Register'!$A432="","",'Project Register'!B432)</f>
        <v/>
      </c>
      <c r="C432" s="15" t="str">
        <f aca="false">IF('Project Register'!$A432="","",IF(OR('Project Register'!E432="",'Project Register'!F432=""),"",IF('Project Register'!F432&lt;'Project Register'!E432,0,NETWORKDAYS.INTL('Project Register'!E432,'Project Register'!F432,"0000110",Holidays_Leave!$A$3:$A$62))))</f>
        <v/>
      </c>
      <c r="D432" s="15" t="str">
        <f aca="false">IF('Project Register'!$A432="","",('Project Register'!H432&lt;&gt;"")+('Project Register'!J432&lt;&gt;"")+('Project Register'!L432&lt;&gt;""))</f>
        <v/>
      </c>
      <c r="E432" s="16" t="str">
        <f aca="false">IF(OR(C432="",D432="",'Project Register'!G432=""),"",IF(OR(C432=0,D432=0),"",'Project Register'!G432/(C432*D432)))</f>
        <v/>
      </c>
      <c r="F432" s="15" t="str">
        <f aca="false">IF('Project Register'!$A432="","",TRIM(IF(OR('Project Register'!E432="",'Project Register'!F432=""),"Missing date. ","")&amp;IF(AND('Project Register'!E432&lt;&gt;"",'Project Register'!F432&lt;&gt;"",'Project Register'!F432&lt;'Project Register'!E432),"End before start. ","")&amp;IF(NOT(ISNUMBER('Project Register'!G432)),"Effort missing. ","")&amp;IF(D432=0,"No resource. ","")&amp;IF(AND('Project Register'!H432&lt;&gt;"",'Project Register'!I432=""),"Role 1 missing. ","")&amp;IF(AND('Project Register'!J432&lt;&gt;"",'Project Register'!K432=""),"Role 2 missing. ","")&amp;IF(AND('Project Register'!L432&lt;&gt;"",'Project Register'!M432=""),"Role 3 missing. ","")&amp;IF(OR(AND('Project Register'!H432&lt;&gt;"",'Project Register'!H432='Project Register'!J432),AND('Project Register'!H432&lt;&gt;"",'Project Register'!H432='Project Register'!L432),AND('Project Register'!J432&lt;&gt;"",'Project Register'!J432='Project Register'!L432)),"Same person listed twice. ","")&amp;IF(AND('Project Register'!H432&lt;&gt;"",COUNTIF(Resources!$A$2:$A$51,'Project Register'!H432)=0),"Resource 1 not in Resources sheet. ","")&amp;IF(AND('Project Register'!J432&lt;&gt;"",COUNTIF(Resources!$A$2:$A$51,'Project Register'!J432)=0),"Resource 2 not in Resources sheet. ","")&amp;IF(AND('Project Register'!L432&lt;&gt;"",COUNTIF(Resources!$A$2:$A$51,'Project Register'!L432)=0),"Resource 3 not in Resources sheet. ","")&amp;IF('Project Register'!O432="","Test Status missing. ","")&amp;IF(AND(ISNUMBER(E432),E432&gt;1),"This task alone needs over 100% per person. ","")&amp;IF(AND('Project Register'!Q432="Deployed in Live",'Project Register'!R432=""),"Release Date blank (import date will be used). ","")))</f>
        <v/>
      </c>
      <c r="G432" s="17" t="str">
        <f aca="false">IF('Project Register'!$A432="","",IF(F432="","OK","Check"))</f>
        <v/>
      </c>
    </row>
    <row r="433" customFormat="false" ht="15" hidden="false" customHeight="false" outlineLevel="0" collapsed="false">
      <c r="A433" s="15" t="str">
        <f aca="false">IF('Project Register'!$A433="","",ROW('Project Register'!A433))</f>
        <v/>
      </c>
      <c r="B433" s="15" t="str">
        <f aca="false">IF('Project Register'!$A433="","",'Project Register'!B433)</f>
        <v/>
      </c>
      <c r="C433" s="15" t="str">
        <f aca="false">IF('Project Register'!$A433="","",IF(OR('Project Register'!E433="",'Project Register'!F433=""),"",IF('Project Register'!F433&lt;'Project Register'!E433,0,NETWORKDAYS.INTL('Project Register'!E433,'Project Register'!F433,"0000110",Holidays_Leave!$A$3:$A$62))))</f>
        <v/>
      </c>
      <c r="D433" s="15" t="str">
        <f aca="false">IF('Project Register'!$A433="","",('Project Register'!H433&lt;&gt;"")+('Project Register'!J433&lt;&gt;"")+('Project Register'!L433&lt;&gt;""))</f>
        <v/>
      </c>
      <c r="E433" s="16" t="str">
        <f aca="false">IF(OR(C433="",D433="",'Project Register'!G433=""),"",IF(OR(C433=0,D433=0),"",'Project Register'!G433/(C433*D433)))</f>
        <v/>
      </c>
      <c r="F433" s="15" t="str">
        <f aca="false">IF('Project Register'!$A433="","",TRIM(IF(OR('Project Register'!E433="",'Project Register'!F433=""),"Missing date. ","")&amp;IF(AND('Project Register'!E433&lt;&gt;"",'Project Register'!F433&lt;&gt;"",'Project Register'!F433&lt;'Project Register'!E433),"End before start. ","")&amp;IF(NOT(ISNUMBER('Project Register'!G433)),"Effort missing. ","")&amp;IF(D433=0,"No resource. ","")&amp;IF(AND('Project Register'!H433&lt;&gt;"",'Project Register'!I433=""),"Role 1 missing. ","")&amp;IF(AND('Project Register'!J433&lt;&gt;"",'Project Register'!K433=""),"Role 2 missing. ","")&amp;IF(AND('Project Register'!L433&lt;&gt;"",'Project Register'!M433=""),"Role 3 missing. ","")&amp;IF(OR(AND('Project Register'!H433&lt;&gt;"",'Project Register'!H433='Project Register'!J433),AND('Project Register'!H433&lt;&gt;"",'Project Register'!H433='Project Register'!L433),AND('Project Register'!J433&lt;&gt;"",'Project Register'!J433='Project Register'!L433)),"Same person listed twice. ","")&amp;IF(AND('Project Register'!H433&lt;&gt;"",COUNTIF(Resources!$A$2:$A$51,'Project Register'!H433)=0),"Resource 1 not in Resources sheet. ","")&amp;IF(AND('Project Register'!J433&lt;&gt;"",COUNTIF(Resources!$A$2:$A$51,'Project Register'!J433)=0),"Resource 2 not in Resources sheet. ","")&amp;IF(AND('Project Register'!L433&lt;&gt;"",COUNTIF(Resources!$A$2:$A$51,'Project Register'!L433)=0),"Resource 3 not in Resources sheet. ","")&amp;IF('Project Register'!O433="","Test Status missing. ","")&amp;IF(AND(ISNUMBER(E433),E433&gt;1),"This task alone needs over 100% per person. ","")&amp;IF(AND('Project Register'!Q433="Deployed in Live",'Project Register'!R433=""),"Release Date blank (import date will be used). ","")))</f>
        <v/>
      </c>
      <c r="G433" s="17" t="str">
        <f aca="false">IF('Project Register'!$A433="","",IF(F433="","OK","Check"))</f>
        <v/>
      </c>
    </row>
    <row r="434" customFormat="false" ht="15" hidden="false" customHeight="false" outlineLevel="0" collapsed="false">
      <c r="A434" s="15" t="str">
        <f aca="false">IF('Project Register'!$A434="","",ROW('Project Register'!A434))</f>
        <v/>
      </c>
      <c r="B434" s="15" t="str">
        <f aca="false">IF('Project Register'!$A434="","",'Project Register'!B434)</f>
        <v/>
      </c>
      <c r="C434" s="15" t="str">
        <f aca="false">IF('Project Register'!$A434="","",IF(OR('Project Register'!E434="",'Project Register'!F434=""),"",IF('Project Register'!F434&lt;'Project Register'!E434,0,NETWORKDAYS.INTL('Project Register'!E434,'Project Register'!F434,"0000110",Holidays_Leave!$A$3:$A$62))))</f>
        <v/>
      </c>
      <c r="D434" s="15" t="str">
        <f aca="false">IF('Project Register'!$A434="","",('Project Register'!H434&lt;&gt;"")+('Project Register'!J434&lt;&gt;"")+('Project Register'!L434&lt;&gt;""))</f>
        <v/>
      </c>
      <c r="E434" s="16" t="str">
        <f aca="false">IF(OR(C434="",D434="",'Project Register'!G434=""),"",IF(OR(C434=0,D434=0),"",'Project Register'!G434/(C434*D434)))</f>
        <v/>
      </c>
      <c r="F434" s="15" t="str">
        <f aca="false">IF('Project Register'!$A434="","",TRIM(IF(OR('Project Register'!E434="",'Project Register'!F434=""),"Missing date. ","")&amp;IF(AND('Project Register'!E434&lt;&gt;"",'Project Register'!F434&lt;&gt;"",'Project Register'!F434&lt;'Project Register'!E434),"End before start. ","")&amp;IF(NOT(ISNUMBER('Project Register'!G434)),"Effort missing. ","")&amp;IF(D434=0,"No resource. ","")&amp;IF(AND('Project Register'!H434&lt;&gt;"",'Project Register'!I434=""),"Role 1 missing. ","")&amp;IF(AND('Project Register'!J434&lt;&gt;"",'Project Register'!K434=""),"Role 2 missing. ","")&amp;IF(AND('Project Register'!L434&lt;&gt;"",'Project Register'!M434=""),"Role 3 missing. ","")&amp;IF(OR(AND('Project Register'!H434&lt;&gt;"",'Project Register'!H434='Project Register'!J434),AND('Project Register'!H434&lt;&gt;"",'Project Register'!H434='Project Register'!L434),AND('Project Register'!J434&lt;&gt;"",'Project Register'!J434='Project Register'!L434)),"Same person listed twice. ","")&amp;IF(AND('Project Register'!H434&lt;&gt;"",COUNTIF(Resources!$A$2:$A$51,'Project Register'!H434)=0),"Resource 1 not in Resources sheet. ","")&amp;IF(AND('Project Register'!J434&lt;&gt;"",COUNTIF(Resources!$A$2:$A$51,'Project Register'!J434)=0),"Resource 2 not in Resources sheet. ","")&amp;IF(AND('Project Register'!L434&lt;&gt;"",COUNTIF(Resources!$A$2:$A$51,'Project Register'!L434)=0),"Resource 3 not in Resources sheet. ","")&amp;IF('Project Register'!O434="","Test Status missing. ","")&amp;IF(AND(ISNUMBER(E434),E434&gt;1),"This task alone needs over 100% per person. ","")&amp;IF(AND('Project Register'!Q434="Deployed in Live",'Project Register'!R434=""),"Release Date blank (import date will be used). ","")))</f>
        <v/>
      </c>
      <c r="G434" s="17" t="str">
        <f aca="false">IF('Project Register'!$A434="","",IF(F434="","OK","Check"))</f>
        <v/>
      </c>
    </row>
    <row r="435" customFormat="false" ht="15" hidden="false" customHeight="false" outlineLevel="0" collapsed="false">
      <c r="A435" s="15" t="str">
        <f aca="false">IF('Project Register'!$A435="","",ROW('Project Register'!A435))</f>
        <v/>
      </c>
      <c r="B435" s="15" t="str">
        <f aca="false">IF('Project Register'!$A435="","",'Project Register'!B435)</f>
        <v/>
      </c>
      <c r="C435" s="15" t="str">
        <f aca="false">IF('Project Register'!$A435="","",IF(OR('Project Register'!E435="",'Project Register'!F435=""),"",IF('Project Register'!F435&lt;'Project Register'!E435,0,NETWORKDAYS.INTL('Project Register'!E435,'Project Register'!F435,"0000110",Holidays_Leave!$A$3:$A$62))))</f>
        <v/>
      </c>
      <c r="D435" s="15" t="str">
        <f aca="false">IF('Project Register'!$A435="","",('Project Register'!H435&lt;&gt;"")+('Project Register'!J435&lt;&gt;"")+('Project Register'!L435&lt;&gt;""))</f>
        <v/>
      </c>
      <c r="E435" s="16" t="str">
        <f aca="false">IF(OR(C435="",D435="",'Project Register'!G435=""),"",IF(OR(C435=0,D435=0),"",'Project Register'!G435/(C435*D435)))</f>
        <v/>
      </c>
      <c r="F435" s="15" t="str">
        <f aca="false">IF('Project Register'!$A435="","",TRIM(IF(OR('Project Register'!E435="",'Project Register'!F435=""),"Missing date. ","")&amp;IF(AND('Project Register'!E435&lt;&gt;"",'Project Register'!F435&lt;&gt;"",'Project Register'!F435&lt;'Project Register'!E435),"End before start. ","")&amp;IF(NOT(ISNUMBER('Project Register'!G435)),"Effort missing. ","")&amp;IF(D435=0,"No resource. ","")&amp;IF(AND('Project Register'!H435&lt;&gt;"",'Project Register'!I435=""),"Role 1 missing. ","")&amp;IF(AND('Project Register'!J435&lt;&gt;"",'Project Register'!K435=""),"Role 2 missing. ","")&amp;IF(AND('Project Register'!L435&lt;&gt;"",'Project Register'!M435=""),"Role 3 missing. ","")&amp;IF(OR(AND('Project Register'!H435&lt;&gt;"",'Project Register'!H435='Project Register'!J435),AND('Project Register'!H435&lt;&gt;"",'Project Register'!H435='Project Register'!L435),AND('Project Register'!J435&lt;&gt;"",'Project Register'!J435='Project Register'!L435)),"Same person listed twice. ","")&amp;IF(AND('Project Register'!H435&lt;&gt;"",COUNTIF(Resources!$A$2:$A$51,'Project Register'!H435)=0),"Resource 1 not in Resources sheet. ","")&amp;IF(AND('Project Register'!J435&lt;&gt;"",COUNTIF(Resources!$A$2:$A$51,'Project Register'!J435)=0),"Resource 2 not in Resources sheet. ","")&amp;IF(AND('Project Register'!L435&lt;&gt;"",COUNTIF(Resources!$A$2:$A$51,'Project Register'!L435)=0),"Resource 3 not in Resources sheet. ","")&amp;IF('Project Register'!O435="","Test Status missing. ","")&amp;IF(AND(ISNUMBER(E435),E435&gt;1),"This task alone needs over 100% per person. ","")&amp;IF(AND('Project Register'!Q435="Deployed in Live",'Project Register'!R435=""),"Release Date blank (import date will be used). ","")))</f>
        <v/>
      </c>
      <c r="G435" s="17" t="str">
        <f aca="false">IF('Project Register'!$A435="","",IF(F435="","OK","Check"))</f>
        <v/>
      </c>
    </row>
    <row r="436" customFormat="false" ht="15" hidden="false" customHeight="false" outlineLevel="0" collapsed="false">
      <c r="A436" s="15" t="str">
        <f aca="false">IF('Project Register'!$A436="","",ROW('Project Register'!A436))</f>
        <v/>
      </c>
      <c r="B436" s="15" t="str">
        <f aca="false">IF('Project Register'!$A436="","",'Project Register'!B436)</f>
        <v/>
      </c>
      <c r="C436" s="15" t="str">
        <f aca="false">IF('Project Register'!$A436="","",IF(OR('Project Register'!E436="",'Project Register'!F436=""),"",IF('Project Register'!F436&lt;'Project Register'!E436,0,NETWORKDAYS.INTL('Project Register'!E436,'Project Register'!F436,"0000110",Holidays_Leave!$A$3:$A$62))))</f>
        <v/>
      </c>
      <c r="D436" s="15" t="str">
        <f aca="false">IF('Project Register'!$A436="","",('Project Register'!H436&lt;&gt;"")+('Project Register'!J436&lt;&gt;"")+('Project Register'!L436&lt;&gt;""))</f>
        <v/>
      </c>
      <c r="E436" s="16" t="str">
        <f aca="false">IF(OR(C436="",D436="",'Project Register'!G436=""),"",IF(OR(C436=0,D436=0),"",'Project Register'!G436/(C436*D436)))</f>
        <v/>
      </c>
      <c r="F436" s="15" t="str">
        <f aca="false">IF('Project Register'!$A436="","",TRIM(IF(OR('Project Register'!E436="",'Project Register'!F436=""),"Missing date. ","")&amp;IF(AND('Project Register'!E436&lt;&gt;"",'Project Register'!F436&lt;&gt;"",'Project Register'!F436&lt;'Project Register'!E436),"End before start. ","")&amp;IF(NOT(ISNUMBER('Project Register'!G436)),"Effort missing. ","")&amp;IF(D436=0,"No resource. ","")&amp;IF(AND('Project Register'!H436&lt;&gt;"",'Project Register'!I436=""),"Role 1 missing. ","")&amp;IF(AND('Project Register'!J436&lt;&gt;"",'Project Register'!K436=""),"Role 2 missing. ","")&amp;IF(AND('Project Register'!L436&lt;&gt;"",'Project Register'!M436=""),"Role 3 missing. ","")&amp;IF(OR(AND('Project Register'!H436&lt;&gt;"",'Project Register'!H436='Project Register'!J436),AND('Project Register'!H436&lt;&gt;"",'Project Register'!H436='Project Register'!L436),AND('Project Register'!J436&lt;&gt;"",'Project Register'!J436='Project Register'!L436)),"Same person listed twice. ","")&amp;IF(AND('Project Register'!H436&lt;&gt;"",COUNTIF(Resources!$A$2:$A$51,'Project Register'!H436)=0),"Resource 1 not in Resources sheet. ","")&amp;IF(AND('Project Register'!J436&lt;&gt;"",COUNTIF(Resources!$A$2:$A$51,'Project Register'!J436)=0),"Resource 2 not in Resources sheet. ","")&amp;IF(AND('Project Register'!L436&lt;&gt;"",COUNTIF(Resources!$A$2:$A$51,'Project Register'!L436)=0),"Resource 3 not in Resources sheet. ","")&amp;IF('Project Register'!O436="","Test Status missing. ","")&amp;IF(AND(ISNUMBER(E436),E436&gt;1),"This task alone needs over 100% per person. ","")&amp;IF(AND('Project Register'!Q436="Deployed in Live",'Project Register'!R436=""),"Release Date blank (import date will be used). ","")))</f>
        <v/>
      </c>
      <c r="G436" s="17" t="str">
        <f aca="false">IF('Project Register'!$A436="","",IF(F436="","OK","Check"))</f>
        <v/>
      </c>
    </row>
    <row r="437" customFormat="false" ht="15" hidden="false" customHeight="false" outlineLevel="0" collapsed="false">
      <c r="A437" s="15" t="str">
        <f aca="false">IF('Project Register'!$A437="","",ROW('Project Register'!A437))</f>
        <v/>
      </c>
      <c r="B437" s="15" t="str">
        <f aca="false">IF('Project Register'!$A437="","",'Project Register'!B437)</f>
        <v/>
      </c>
      <c r="C437" s="15" t="str">
        <f aca="false">IF('Project Register'!$A437="","",IF(OR('Project Register'!E437="",'Project Register'!F437=""),"",IF('Project Register'!F437&lt;'Project Register'!E437,0,NETWORKDAYS.INTL('Project Register'!E437,'Project Register'!F437,"0000110",Holidays_Leave!$A$3:$A$62))))</f>
        <v/>
      </c>
      <c r="D437" s="15" t="str">
        <f aca="false">IF('Project Register'!$A437="","",('Project Register'!H437&lt;&gt;"")+('Project Register'!J437&lt;&gt;"")+('Project Register'!L437&lt;&gt;""))</f>
        <v/>
      </c>
      <c r="E437" s="16" t="str">
        <f aca="false">IF(OR(C437="",D437="",'Project Register'!G437=""),"",IF(OR(C437=0,D437=0),"",'Project Register'!G437/(C437*D437)))</f>
        <v/>
      </c>
      <c r="F437" s="15" t="str">
        <f aca="false">IF('Project Register'!$A437="","",TRIM(IF(OR('Project Register'!E437="",'Project Register'!F437=""),"Missing date. ","")&amp;IF(AND('Project Register'!E437&lt;&gt;"",'Project Register'!F437&lt;&gt;"",'Project Register'!F437&lt;'Project Register'!E437),"End before start. ","")&amp;IF(NOT(ISNUMBER('Project Register'!G437)),"Effort missing. ","")&amp;IF(D437=0,"No resource. ","")&amp;IF(AND('Project Register'!H437&lt;&gt;"",'Project Register'!I437=""),"Role 1 missing. ","")&amp;IF(AND('Project Register'!J437&lt;&gt;"",'Project Register'!K437=""),"Role 2 missing. ","")&amp;IF(AND('Project Register'!L437&lt;&gt;"",'Project Register'!M437=""),"Role 3 missing. ","")&amp;IF(OR(AND('Project Register'!H437&lt;&gt;"",'Project Register'!H437='Project Register'!J437),AND('Project Register'!H437&lt;&gt;"",'Project Register'!H437='Project Register'!L437),AND('Project Register'!J437&lt;&gt;"",'Project Register'!J437='Project Register'!L437)),"Same person listed twice. ","")&amp;IF(AND('Project Register'!H437&lt;&gt;"",COUNTIF(Resources!$A$2:$A$51,'Project Register'!H437)=0),"Resource 1 not in Resources sheet. ","")&amp;IF(AND('Project Register'!J437&lt;&gt;"",COUNTIF(Resources!$A$2:$A$51,'Project Register'!J437)=0),"Resource 2 not in Resources sheet. ","")&amp;IF(AND('Project Register'!L437&lt;&gt;"",COUNTIF(Resources!$A$2:$A$51,'Project Register'!L437)=0),"Resource 3 not in Resources sheet. ","")&amp;IF('Project Register'!O437="","Test Status missing. ","")&amp;IF(AND(ISNUMBER(E437),E437&gt;1),"This task alone needs over 100% per person. ","")&amp;IF(AND('Project Register'!Q437="Deployed in Live",'Project Register'!R437=""),"Release Date blank (import date will be used). ","")))</f>
        <v/>
      </c>
      <c r="G437" s="17" t="str">
        <f aca="false">IF('Project Register'!$A437="","",IF(F437="","OK","Check"))</f>
        <v/>
      </c>
    </row>
    <row r="438" customFormat="false" ht="15" hidden="false" customHeight="false" outlineLevel="0" collapsed="false">
      <c r="A438" s="15" t="str">
        <f aca="false">IF('Project Register'!$A438="","",ROW('Project Register'!A438))</f>
        <v/>
      </c>
      <c r="B438" s="15" t="str">
        <f aca="false">IF('Project Register'!$A438="","",'Project Register'!B438)</f>
        <v/>
      </c>
      <c r="C438" s="15" t="str">
        <f aca="false">IF('Project Register'!$A438="","",IF(OR('Project Register'!E438="",'Project Register'!F438=""),"",IF('Project Register'!F438&lt;'Project Register'!E438,0,NETWORKDAYS.INTL('Project Register'!E438,'Project Register'!F438,"0000110",Holidays_Leave!$A$3:$A$62))))</f>
        <v/>
      </c>
      <c r="D438" s="15" t="str">
        <f aca="false">IF('Project Register'!$A438="","",('Project Register'!H438&lt;&gt;"")+('Project Register'!J438&lt;&gt;"")+('Project Register'!L438&lt;&gt;""))</f>
        <v/>
      </c>
      <c r="E438" s="16" t="str">
        <f aca="false">IF(OR(C438="",D438="",'Project Register'!G438=""),"",IF(OR(C438=0,D438=0),"",'Project Register'!G438/(C438*D438)))</f>
        <v/>
      </c>
      <c r="F438" s="15" t="str">
        <f aca="false">IF('Project Register'!$A438="","",TRIM(IF(OR('Project Register'!E438="",'Project Register'!F438=""),"Missing date. ","")&amp;IF(AND('Project Register'!E438&lt;&gt;"",'Project Register'!F438&lt;&gt;"",'Project Register'!F438&lt;'Project Register'!E438),"End before start. ","")&amp;IF(NOT(ISNUMBER('Project Register'!G438)),"Effort missing. ","")&amp;IF(D438=0,"No resource. ","")&amp;IF(AND('Project Register'!H438&lt;&gt;"",'Project Register'!I438=""),"Role 1 missing. ","")&amp;IF(AND('Project Register'!J438&lt;&gt;"",'Project Register'!K438=""),"Role 2 missing. ","")&amp;IF(AND('Project Register'!L438&lt;&gt;"",'Project Register'!M438=""),"Role 3 missing. ","")&amp;IF(OR(AND('Project Register'!H438&lt;&gt;"",'Project Register'!H438='Project Register'!J438),AND('Project Register'!H438&lt;&gt;"",'Project Register'!H438='Project Register'!L438),AND('Project Register'!J438&lt;&gt;"",'Project Register'!J438='Project Register'!L438)),"Same person listed twice. ","")&amp;IF(AND('Project Register'!H438&lt;&gt;"",COUNTIF(Resources!$A$2:$A$51,'Project Register'!H438)=0),"Resource 1 not in Resources sheet. ","")&amp;IF(AND('Project Register'!J438&lt;&gt;"",COUNTIF(Resources!$A$2:$A$51,'Project Register'!J438)=0),"Resource 2 not in Resources sheet. ","")&amp;IF(AND('Project Register'!L438&lt;&gt;"",COUNTIF(Resources!$A$2:$A$51,'Project Register'!L438)=0),"Resource 3 not in Resources sheet. ","")&amp;IF('Project Register'!O438="","Test Status missing. ","")&amp;IF(AND(ISNUMBER(E438),E438&gt;1),"This task alone needs over 100% per person. ","")&amp;IF(AND('Project Register'!Q438="Deployed in Live",'Project Register'!R438=""),"Release Date blank (import date will be used). ","")))</f>
        <v/>
      </c>
      <c r="G438" s="17" t="str">
        <f aca="false">IF('Project Register'!$A438="","",IF(F438="","OK","Check"))</f>
        <v/>
      </c>
    </row>
    <row r="439" customFormat="false" ht="15" hidden="false" customHeight="false" outlineLevel="0" collapsed="false">
      <c r="A439" s="15" t="str">
        <f aca="false">IF('Project Register'!$A439="","",ROW('Project Register'!A439))</f>
        <v/>
      </c>
      <c r="B439" s="15" t="str">
        <f aca="false">IF('Project Register'!$A439="","",'Project Register'!B439)</f>
        <v/>
      </c>
      <c r="C439" s="15" t="str">
        <f aca="false">IF('Project Register'!$A439="","",IF(OR('Project Register'!E439="",'Project Register'!F439=""),"",IF('Project Register'!F439&lt;'Project Register'!E439,0,NETWORKDAYS.INTL('Project Register'!E439,'Project Register'!F439,"0000110",Holidays_Leave!$A$3:$A$62))))</f>
        <v/>
      </c>
      <c r="D439" s="15" t="str">
        <f aca="false">IF('Project Register'!$A439="","",('Project Register'!H439&lt;&gt;"")+('Project Register'!J439&lt;&gt;"")+('Project Register'!L439&lt;&gt;""))</f>
        <v/>
      </c>
      <c r="E439" s="16" t="str">
        <f aca="false">IF(OR(C439="",D439="",'Project Register'!G439=""),"",IF(OR(C439=0,D439=0),"",'Project Register'!G439/(C439*D439)))</f>
        <v/>
      </c>
      <c r="F439" s="15" t="str">
        <f aca="false">IF('Project Register'!$A439="","",TRIM(IF(OR('Project Register'!E439="",'Project Register'!F439=""),"Missing date. ","")&amp;IF(AND('Project Register'!E439&lt;&gt;"",'Project Register'!F439&lt;&gt;"",'Project Register'!F439&lt;'Project Register'!E439),"End before start. ","")&amp;IF(NOT(ISNUMBER('Project Register'!G439)),"Effort missing. ","")&amp;IF(D439=0,"No resource. ","")&amp;IF(AND('Project Register'!H439&lt;&gt;"",'Project Register'!I439=""),"Role 1 missing. ","")&amp;IF(AND('Project Register'!J439&lt;&gt;"",'Project Register'!K439=""),"Role 2 missing. ","")&amp;IF(AND('Project Register'!L439&lt;&gt;"",'Project Register'!M439=""),"Role 3 missing. ","")&amp;IF(OR(AND('Project Register'!H439&lt;&gt;"",'Project Register'!H439='Project Register'!J439),AND('Project Register'!H439&lt;&gt;"",'Project Register'!H439='Project Register'!L439),AND('Project Register'!J439&lt;&gt;"",'Project Register'!J439='Project Register'!L439)),"Same person listed twice. ","")&amp;IF(AND('Project Register'!H439&lt;&gt;"",COUNTIF(Resources!$A$2:$A$51,'Project Register'!H439)=0),"Resource 1 not in Resources sheet. ","")&amp;IF(AND('Project Register'!J439&lt;&gt;"",COUNTIF(Resources!$A$2:$A$51,'Project Register'!J439)=0),"Resource 2 not in Resources sheet. ","")&amp;IF(AND('Project Register'!L439&lt;&gt;"",COUNTIF(Resources!$A$2:$A$51,'Project Register'!L439)=0),"Resource 3 not in Resources sheet. ","")&amp;IF('Project Register'!O439="","Test Status missing. ","")&amp;IF(AND(ISNUMBER(E439),E439&gt;1),"This task alone needs over 100% per person. ","")&amp;IF(AND('Project Register'!Q439="Deployed in Live",'Project Register'!R439=""),"Release Date blank (import date will be used). ","")))</f>
        <v/>
      </c>
      <c r="G439" s="17" t="str">
        <f aca="false">IF('Project Register'!$A439="","",IF(F439="","OK","Check"))</f>
        <v/>
      </c>
    </row>
    <row r="440" customFormat="false" ht="15" hidden="false" customHeight="false" outlineLevel="0" collapsed="false">
      <c r="A440" s="15" t="str">
        <f aca="false">IF('Project Register'!$A440="","",ROW('Project Register'!A440))</f>
        <v/>
      </c>
      <c r="B440" s="15" t="str">
        <f aca="false">IF('Project Register'!$A440="","",'Project Register'!B440)</f>
        <v/>
      </c>
      <c r="C440" s="15" t="str">
        <f aca="false">IF('Project Register'!$A440="","",IF(OR('Project Register'!E440="",'Project Register'!F440=""),"",IF('Project Register'!F440&lt;'Project Register'!E440,0,NETWORKDAYS.INTL('Project Register'!E440,'Project Register'!F440,"0000110",Holidays_Leave!$A$3:$A$62))))</f>
        <v/>
      </c>
      <c r="D440" s="15" t="str">
        <f aca="false">IF('Project Register'!$A440="","",('Project Register'!H440&lt;&gt;"")+('Project Register'!J440&lt;&gt;"")+('Project Register'!L440&lt;&gt;""))</f>
        <v/>
      </c>
      <c r="E440" s="16" t="str">
        <f aca="false">IF(OR(C440="",D440="",'Project Register'!G440=""),"",IF(OR(C440=0,D440=0),"",'Project Register'!G440/(C440*D440)))</f>
        <v/>
      </c>
      <c r="F440" s="15" t="str">
        <f aca="false">IF('Project Register'!$A440="","",TRIM(IF(OR('Project Register'!E440="",'Project Register'!F440=""),"Missing date. ","")&amp;IF(AND('Project Register'!E440&lt;&gt;"",'Project Register'!F440&lt;&gt;"",'Project Register'!F440&lt;'Project Register'!E440),"End before start. ","")&amp;IF(NOT(ISNUMBER('Project Register'!G440)),"Effort missing. ","")&amp;IF(D440=0,"No resource. ","")&amp;IF(AND('Project Register'!H440&lt;&gt;"",'Project Register'!I440=""),"Role 1 missing. ","")&amp;IF(AND('Project Register'!J440&lt;&gt;"",'Project Register'!K440=""),"Role 2 missing. ","")&amp;IF(AND('Project Register'!L440&lt;&gt;"",'Project Register'!M440=""),"Role 3 missing. ","")&amp;IF(OR(AND('Project Register'!H440&lt;&gt;"",'Project Register'!H440='Project Register'!J440),AND('Project Register'!H440&lt;&gt;"",'Project Register'!H440='Project Register'!L440),AND('Project Register'!J440&lt;&gt;"",'Project Register'!J440='Project Register'!L440)),"Same person listed twice. ","")&amp;IF(AND('Project Register'!H440&lt;&gt;"",COUNTIF(Resources!$A$2:$A$51,'Project Register'!H440)=0),"Resource 1 not in Resources sheet. ","")&amp;IF(AND('Project Register'!J440&lt;&gt;"",COUNTIF(Resources!$A$2:$A$51,'Project Register'!J440)=0),"Resource 2 not in Resources sheet. ","")&amp;IF(AND('Project Register'!L440&lt;&gt;"",COUNTIF(Resources!$A$2:$A$51,'Project Register'!L440)=0),"Resource 3 not in Resources sheet. ","")&amp;IF('Project Register'!O440="","Test Status missing. ","")&amp;IF(AND(ISNUMBER(E440),E440&gt;1),"This task alone needs over 100% per person. ","")&amp;IF(AND('Project Register'!Q440="Deployed in Live",'Project Register'!R440=""),"Release Date blank (import date will be used). ","")))</f>
        <v/>
      </c>
      <c r="G440" s="17" t="str">
        <f aca="false">IF('Project Register'!$A440="","",IF(F440="","OK","Check"))</f>
        <v/>
      </c>
    </row>
    <row r="441" customFormat="false" ht="15" hidden="false" customHeight="false" outlineLevel="0" collapsed="false">
      <c r="A441" s="15" t="str">
        <f aca="false">IF('Project Register'!$A441="","",ROW('Project Register'!A441))</f>
        <v/>
      </c>
      <c r="B441" s="15" t="str">
        <f aca="false">IF('Project Register'!$A441="","",'Project Register'!B441)</f>
        <v/>
      </c>
      <c r="C441" s="15" t="str">
        <f aca="false">IF('Project Register'!$A441="","",IF(OR('Project Register'!E441="",'Project Register'!F441=""),"",IF('Project Register'!F441&lt;'Project Register'!E441,0,NETWORKDAYS.INTL('Project Register'!E441,'Project Register'!F441,"0000110",Holidays_Leave!$A$3:$A$62))))</f>
        <v/>
      </c>
      <c r="D441" s="15" t="str">
        <f aca="false">IF('Project Register'!$A441="","",('Project Register'!H441&lt;&gt;"")+('Project Register'!J441&lt;&gt;"")+('Project Register'!L441&lt;&gt;""))</f>
        <v/>
      </c>
      <c r="E441" s="16" t="str">
        <f aca="false">IF(OR(C441="",D441="",'Project Register'!G441=""),"",IF(OR(C441=0,D441=0),"",'Project Register'!G441/(C441*D441)))</f>
        <v/>
      </c>
      <c r="F441" s="15" t="str">
        <f aca="false">IF('Project Register'!$A441="","",TRIM(IF(OR('Project Register'!E441="",'Project Register'!F441=""),"Missing date. ","")&amp;IF(AND('Project Register'!E441&lt;&gt;"",'Project Register'!F441&lt;&gt;"",'Project Register'!F441&lt;'Project Register'!E441),"End before start. ","")&amp;IF(NOT(ISNUMBER('Project Register'!G441)),"Effort missing. ","")&amp;IF(D441=0,"No resource. ","")&amp;IF(AND('Project Register'!H441&lt;&gt;"",'Project Register'!I441=""),"Role 1 missing. ","")&amp;IF(AND('Project Register'!J441&lt;&gt;"",'Project Register'!K441=""),"Role 2 missing. ","")&amp;IF(AND('Project Register'!L441&lt;&gt;"",'Project Register'!M441=""),"Role 3 missing. ","")&amp;IF(OR(AND('Project Register'!H441&lt;&gt;"",'Project Register'!H441='Project Register'!J441),AND('Project Register'!H441&lt;&gt;"",'Project Register'!H441='Project Register'!L441),AND('Project Register'!J441&lt;&gt;"",'Project Register'!J441='Project Register'!L441)),"Same person listed twice. ","")&amp;IF(AND('Project Register'!H441&lt;&gt;"",COUNTIF(Resources!$A$2:$A$51,'Project Register'!H441)=0),"Resource 1 not in Resources sheet. ","")&amp;IF(AND('Project Register'!J441&lt;&gt;"",COUNTIF(Resources!$A$2:$A$51,'Project Register'!J441)=0),"Resource 2 not in Resources sheet. ","")&amp;IF(AND('Project Register'!L441&lt;&gt;"",COUNTIF(Resources!$A$2:$A$51,'Project Register'!L441)=0),"Resource 3 not in Resources sheet. ","")&amp;IF('Project Register'!O441="","Test Status missing. ","")&amp;IF(AND(ISNUMBER(E441),E441&gt;1),"This task alone needs over 100% per person. ","")&amp;IF(AND('Project Register'!Q441="Deployed in Live",'Project Register'!R441=""),"Release Date blank (import date will be used). ","")))</f>
        <v/>
      </c>
      <c r="G441" s="17" t="str">
        <f aca="false">IF('Project Register'!$A441="","",IF(F441="","OK","Check"))</f>
        <v/>
      </c>
    </row>
    <row r="442" customFormat="false" ht="15" hidden="false" customHeight="false" outlineLevel="0" collapsed="false">
      <c r="A442" s="15" t="str">
        <f aca="false">IF('Project Register'!$A442="","",ROW('Project Register'!A442))</f>
        <v/>
      </c>
      <c r="B442" s="15" t="str">
        <f aca="false">IF('Project Register'!$A442="","",'Project Register'!B442)</f>
        <v/>
      </c>
      <c r="C442" s="15" t="str">
        <f aca="false">IF('Project Register'!$A442="","",IF(OR('Project Register'!E442="",'Project Register'!F442=""),"",IF('Project Register'!F442&lt;'Project Register'!E442,0,NETWORKDAYS.INTL('Project Register'!E442,'Project Register'!F442,"0000110",Holidays_Leave!$A$3:$A$62))))</f>
        <v/>
      </c>
      <c r="D442" s="15" t="str">
        <f aca="false">IF('Project Register'!$A442="","",('Project Register'!H442&lt;&gt;"")+('Project Register'!J442&lt;&gt;"")+('Project Register'!L442&lt;&gt;""))</f>
        <v/>
      </c>
      <c r="E442" s="16" t="str">
        <f aca="false">IF(OR(C442="",D442="",'Project Register'!G442=""),"",IF(OR(C442=0,D442=0),"",'Project Register'!G442/(C442*D442)))</f>
        <v/>
      </c>
      <c r="F442" s="15" t="str">
        <f aca="false">IF('Project Register'!$A442="","",TRIM(IF(OR('Project Register'!E442="",'Project Register'!F442=""),"Missing date. ","")&amp;IF(AND('Project Register'!E442&lt;&gt;"",'Project Register'!F442&lt;&gt;"",'Project Register'!F442&lt;'Project Register'!E442),"End before start. ","")&amp;IF(NOT(ISNUMBER('Project Register'!G442)),"Effort missing. ","")&amp;IF(D442=0,"No resource. ","")&amp;IF(AND('Project Register'!H442&lt;&gt;"",'Project Register'!I442=""),"Role 1 missing. ","")&amp;IF(AND('Project Register'!J442&lt;&gt;"",'Project Register'!K442=""),"Role 2 missing. ","")&amp;IF(AND('Project Register'!L442&lt;&gt;"",'Project Register'!M442=""),"Role 3 missing. ","")&amp;IF(OR(AND('Project Register'!H442&lt;&gt;"",'Project Register'!H442='Project Register'!J442),AND('Project Register'!H442&lt;&gt;"",'Project Register'!H442='Project Register'!L442),AND('Project Register'!J442&lt;&gt;"",'Project Register'!J442='Project Register'!L442)),"Same person listed twice. ","")&amp;IF(AND('Project Register'!H442&lt;&gt;"",COUNTIF(Resources!$A$2:$A$51,'Project Register'!H442)=0),"Resource 1 not in Resources sheet. ","")&amp;IF(AND('Project Register'!J442&lt;&gt;"",COUNTIF(Resources!$A$2:$A$51,'Project Register'!J442)=0),"Resource 2 not in Resources sheet. ","")&amp;IF(AND('Project Register'!L442&lt;&gt;"",COUNTIF(Resources!$A$2:$A$51,'Project Register'!L442)=0),"Resource 3 not in Resources sheet. ","")&amp;IF('Project Register'!O442="","Test Status missing. ","")&amp;IF(AND(ISNUMBER(E442),E442&gt;1),"This task alone needs over 100% per person. ","")&amp;IF(AND('Project Register'!Q442="Deployed in Live",'Project Register'!R442=""),"Release Date blank (import date will be used). ","")))</f>
        <v/>
      </c>
      <c r="G442" s="17" t="str">
        <f aca="false">IF('Project Register'!$A442="","",IF(F442="","OK","Check"))</f>
        <v/>
      </c>
    </row>
    <row r="443" customFormat="false" ht="15" hidden="false" customHeight="false" outlineLevel="0" collapsed="false">
      <c r="A443" s="15" t="str">
        <f aca="false">IF('Project Register'!$A443="","",ROW('Project Register'!A443))</f>
        <v/>
      </c>
      <c r="B443" s="15" t="str">
        <f aca="false">IF('Project Register'!$A443="","",'Project Register'!B443)</f>
        <v/>
      </c>
      <c r="C443" s="15" t="str">
        <f aca="false">IF('Project Register'!$A443="","",IF(OR('Project Register'!E443="",'Project Register'!F443=""),"",IF('Project Register'!F443&lt;'Project Register'!E443,0,NETWORKDAYS.INTL('Project Register'!E443,'Project Register'!F443,"0000110",Holidays_Leave!$A$3:$A$62))))</f>
        <v/>
      </c>
      <c r="D443" s="15" t="str">
        <f aca="false">IF('Project Register'!$A443="","",('Project Register'!H443&lt;&gt;"")+('Project Register'!J443&lt;&gt;"")+('Project Register'!L443&lt;&gt;""))</f>
        <v/>
      </c>
      <c r="E443" s="16" t="str">
        <f aca="false">IF(OR(C443="",D443="",'Project Register'!G443=""),"",IF(OR(C443=0,D443=0),"",'Project Register'!G443/(C443*D443)))</f>
        <v/>
      </c>
      <c r="F443" s="15" t="str">
        <f aca="false">IF('Project Register'!$A443="","",TRIM(IF(OR('Project Register'!E443="",'Project Register'!F443=""),"Missing date. ","")&amp;IF(AND('Project Register'!E443&lt;&gt;"",'Project Register'!F443&lt;&gt;"",'Project Register'!F443&lt;'Project Register'!E443),"End before start. ","")&amp;IF(NOT(ISNUMBER('Project Register'!G443)),"Effort missing. ","")&amp;IF(D443=0,"No resource. ","")&amp;IF(AND('Project Register'!H443&lt;&gt;"",'Project Register'!I443=""),"Role 1 missing. ","")&amp;IF(AND('Project Register'!J443&lt;&gt;"",'Project Register'!K443=""),"Role 2 missing. ","")&amp;IF(AND('Project Register'!L443&lt;&gt;"",'Project Register'!M443=""),"Role 3 missing. ","")&amp;IF(OR(AND('Project Register'!H443&lt;&gt;"",'Project Register'!H443='Project Register'!J443),AND('Project Register'!H443&lt;&gt;"",'Project Register'!H443='Project Register'!L443),AND('Project Register'!J443&lt;&gt;"",'Project Register'!J443='Project Register'!L443)),"Same person listed twice. ","")&amp;IF(AND('Project Register'!H443&lt;&gt;"",COUNTIF(Resources!$A$2:$A$51,'Project Register'!H443)=0),"Resource 1 not in Resources sheet. ","")&amp;IF(AND('Project Register'!J443&lt;&gt;"",COUNTIF(Resources!$A$2:$A$51,'Project Register'!J443)=0),"Resource 2 not in Resources sheet. ","")&amp;IF(AND('Project Register'!L443&lt;&gt;"",COUNTIF(Resources!$A$2:$A$51,'Project Register'!L443)=0),"Resource 3 not in Resources sheet. ","")&amp;IF('Project Register'!O443="","Test Status missing. ","")&amp;IF(AND(ISNUMBER(E443),E443&gt;1),"This task alone needs over 100% per person. ","")&amp;IF(AND('Project Register'!Q443="Deployed in Live",'Project Register'!R443=""),"Release Date blank (import date will be used). ","")))</f>
        <v/>
      </c>
      <c r="G443" s="17" t="str">
        <f aca="false">IF('Project Register'!$A443="","",IF(F443="","OK","Check"))</f>
        <v/>
      </c>
    </row>
    <row r="444" customFormat="false" ht="15" hidden="false" customHeight="false" outlineLevel="0" collapsed="false">
      <c r="A444" s="15" t="str">
        <f aca="false">IF('Project Register'!$A444="","",ROW('Project Register'!A444))</f>
        <v/>
      </c>
      <c r="B444" s="15" t="str">
        <f aca="false">IF('Project Register'!$A444="","",'Project Register'!B444)</f>
        <v/>
      </c>
      <c r="C444" s="15" t="str">
        <f aca="false">IF('Project Register'!$A444="","",IF(OR('Project Register'!E444="",'Project Register'!F444=""),"",IF('Project Register'!F444&lt;'Project Register'!E444,0,NETWORKDAYS.INTL('Project Register'!E444,'Project Register'!F444,"0000110",Holidays_Leave!$A$3:$A$62))))</f>
        <v/>
      </c>
      <c r="D444" s="15" t="str">
        <f aca="false">IF('Project Register'!$A444="","",('Project Register'!H444&lt;&gt;"")+('Project Register'!J444&lt;&gt;"")+('Project Register'!L444&lt;&gt;""))</f>
        <v/>
      </c>
      <c r="E444" s="16" t="str">
        <f aca="false">IF(OR(C444="",D444="",'Project Register'!G444=""),"",IF(OR(C444=0,D444=0),"",'Project Register'!G444/(C444*D444)))</f>
        <v/>
      </c>
      <c r="F444" s="15" t="str">
        <f aca="false">IF('Project Register'!$A444="","",TRIM(IF(OR('Project Register'!E444="",'Project Register'!F444=""),"Missing date. ","")&amp;IF(AND('Project Register'!E444&lt;&gt;"",'Project Register'!F444&lt;&gt;"",'Project Register'!F444&lt;'Project Register'!E444),"End before start. ","")&amp;IF(NOT(ISNUMBER('Project Register'!G444)),"Effort missing. ","")&amp;IF(D444=0,"No resource. ","")&amp;IF(AND('Project Register'!H444&lt;&gt;"",'Project Register'!I444=""),"Role 1 missing. ","")&amp;IF(AND('Project Register'!J444&lt;&gt;"",'Project Register'!K444=""),"Role 2 missing. ","")&amp;IF(AND('Project Register'!L444&lt;&gt;"",'Project Register'!M444=""),"Role 3 missing. ","")&amp;IF(OR(AND('Project Register'!H444&lt;&gt;"",'Project Register'!H444='Project Register'!J444),AND('Project Register'!H444&lt;&gt;"",'Project Register'!H444='Project Register'!L444),AND('Project Register'!J444&lt;&gt;"",'Project Register'!J444='Project Register'!L444)),"Same person listed twice. ","")&amp;IF(AND('Project Register'!H444&lt;&gt;"",COUNTIF(Resources!$A$2:$A$51,'Project Register'!H444)=0),"Resource 1 not in Resources sheet. ","")&amp;IF(AND('Project Register'!J444&lt;&gt;"",COUNTIF(Resources!$A$2:$A$51,'Project Register'!J444)=0),"Resource 2 not in Resources sheet. ","")&amp;IF(AND('Project Register'!L444&lt;&gt;"",COUNTIF(Resources!$A$2:$A$51,'Project Register'!L444)=0),"Resource 3 not in Resources sheet. ","")&amp;IF('Project Register'!O444="","Test Status missing. ","")&amp;IF(AND(ISNUMBER(E444),E444&gt;1),"This task alone needs over 100% per person. ","")&amp;IF(AND('Project Register'!Q444="Deployed in Live",'Project Register'!R444=""),"Release Date blank (import date will be used). ","")))</f>
        <v/>
      </c>
      <c r="G444" s="17" t="str">
        <f aca="false">IF('Project Register'!$A444="","",IF(F444="","OK","Check"))</f>
        <v/>
      </c>
    </row>
    <row r="445" customFormat="false" ht="15" hidden="false" customHeight="false" outlineLevel="0" collapsed="false">
      <c r="A445" s="15" t="str">
        <f aca="false">IF('Project Register'!$A445="","",ROW('Project Register'!A445))</f>
        <v/>
      </c>
      <c r="B445" s="15" t="str">
        <f aca="false">IF('Project Register'!$A445="","",'Project Register'!B445)</f>
        <v/>
      </c>
      <c r="C445" s="15" t="str">
        <f aca="false">IF('Project Register'!$A445="","",IF(OR('Project Register'!E445="",'Project Register'!F445=""),"",IF('Project Register'!F445&lt;'Project Register'!E445,0,NETWORKDAYS.INTL('Project Register'!E445,'Project Register'!F445,"0000110",Holidays_Leave!$A$3:$A$62))))</f>
        <v/>
      </c>
      <c r="D445" s="15" t="str">
        <f aca="false">IF('Project Register'!$A445="","",('Project Register'!H445&lt;&gt;"")+('Project Register'!J445&lt;&gt;"")+('Project Register'!L445&lt;&gt;""))</f>
        <v/>
      </c>
      <c r="E445" s="16" t="str">
        <f aca="false">IF(OR(C445="",D445="",'Project Register'!G445=""),"",IF(OR(C445=0,D445=0),"",'Project Register'!G445/(C445*D445)))</f>
        <v/>
      </c>
      <c r="F445" s="15" t="str">
        <f aca="false">IF('Project Register'!$A445="","",TRIM(IF(OR('Project Register'!E445="",'Project Register'!F445=""),"Missing date. ","")&amp;IF(AND('Project Register'!E445&lt;&gt;"",'Project Register'!F445&lt;&gt;"",'Project Register'!F445&lt;'Project Register'!E445),"End before start. ","")&amp;IF(NOT(ISNUMBER('Project Register'!G445)),"Effort missing. ","")&amp;IF(D445=0,"No resource. ","")&amp;IF(AND('Project Register'!H445&lt;&gt;"",'Project Register'!I445=""),"Role 1 missing. ","")&amp;IF(AND('Project Register'!J445&lt;&gt;"",'Project Register'!K445=""),"Role 2 missing. ","")&amp;IF(AND('Project Register'!L445&lt;&gt;"",'Project Register'!M445=""),"Role 3 missing. ","")&amp;IF(OR(AND('Project Register'!H445&lt;&gt;"",'Project Register'!H445='Project Register'!J445),AND('Project Register'!H445&lt;&gt;"",'Project Register'!H445='Project Register'!L445),AND('Project Register'!J445&lt;&gt;"",'Project Register'!J445='Project Register'!L445)),"Same person listed twice. ","")&amp;IF(AND('Project Register'!H445&lt;&gt;"",COUNTIF(Resources!$A$2:$A$51,'Project Register'!H445)=0),"Resource 1 not in Resources sheet. ","")&amp;IF(AND('Project Register'!J445&lt;&gt;"",COUNTIF(Resources!$A$2:$A$51,'Project Register'!J445)=0),"Resource 2 not in Resources sheet. ","")&amp;IF(AND('Project Register'!L445&lt;&gt;"",COUNTIF(Resources!$A$2:$A$51,'Project Register'!L445)=0),"Resource 3 not in Resources sheet. ","")&amp;IF('Project Register'!O445="","Test Status missing. ","")&amp;IF(AND(ISNUMBER(E445),E445&gt;1),"This task alone needs over 100% per person. ","")&amp;IF(AND('Project Register'!Q445="Deployed in Live",'Project Register'!R445=""),"Release Date blank (import date will be used). ","")))</f>
        <v/>
      </c>
      <c r="G445" s="17" t="str">
        <f aca="false">IF('Project Register'!$A445="","",IF(F445="","OK","Check"))</f>
        <v/>
      </c>
    </row>
    <row r="446" customFormat="false" ht="15" hidden="false" customHeight="false" outlineLevel="0" collapsed="false">
      <c r="A446" s="15" t="str">
        <f aca="false">IF('Project Register'!$A446="","",ROW('Project Register'!A446))</f>
        <v/>
      </c>
      <c r="B446" s="15" t="str">
        <f aca="false">IF('Project Register'!$A446="","",'Project Register'!B446)</f>
        <v/>
      </c>
      <c r="C446" s="15" t="str">
        <f aca="false">IF('Project Register'!$A446="","",IF(OR('Project Register'!E446="",'Project Register'!F446=""),"",IF('Project Register'!F446&lt;'Project Register'!E446,0,NETWORKDAYS.INTL('Project Register'!E446,'Project Register'!F446,"0000110",Holidays_Leave!$A$3:$A$62))))</f>
        <v/>
      </c>
      <c r="D446" s="15" t="str">
        <f aca="false">IF('Project Register'!$A446="","",('Project Register'!H446&lt;&gt;"")+('Project Register'!J446&lt;&gt;"")+('Project Register'!L446&lt;&gt;""))</f>
        <v/>
      </c>
      <c r="E446" s="16" t="str">
        <f aca="false">IF(OR(C446="",D446="",'Project Register'!G446=""),"",IF(OR(C446=0,D446=0),"",'Project Register'!G446/(C446*D446)))</f>
        <v/>
      </c>
      <c r="F446" s="15" t="str">
        <f aca="false">IF('Project Register'!$A446="","",TRIM(IF(OR('Project Register'!E446="",'Project Register'!F446=""),"Missing date. ","")&amp;IF(AND('Project Register'!E446&lt;&gt;"",'Project Register'!F446&lt;&gt;"",'Project Register'!F446&lt;'Project Register'!E446),"End before start. ","")&amp;IF(NOT(ISNUMBER('Project Register'!G446)),"Effort missing. ","")&amp;IF(D446=0,"No resource. ","")&amp;IF(AND('Project Register'!H446&lt;&gt;"",'Project Register'!I446=""),"Role 1 missing. ","")&amp;IF(AND('Project Register'!J446&lt;&gt;"",'Project Register'!K446=""),"Role 2 missing. ","")&amp;IF(AND('Project Register'!L446&lt;&gt;"",'Project Register'!M446=""),"Role 3 missing. ","")&amp;IF(OR(AND('Project Register'!H446&lt;&gt;"",'Project Register'!H446='Project Register'!J446),AND('Project Register'!H446&lt;&gt;"",'Project Register'!H446='Project Register'!L446),AND('Project Register'!J446&lt;&gt;"",'Project Register'!J446='Project Register'!L446)),"Same person listed twice. ","")&amp;IF(AND('Project Register'!H446&lt;&gt;"",COUNTIF(Resources!$A$2:$A$51,'Project Register'!H446)=0),"Resource 1 not in Resources sheet. ","")&amp;IF(AND('Project Register'!J446&lt;&gt;"",COUNTIF(Resources!$A$2:$A$51,'Project Register'!J446)=0),"Resource 2 not in Resources sheet. ","")&amp;IF(AND('Project Register'!L446&lt;&gt;"",COUNTIF(Resources!$A$2:$A$51,'Project Register'!L446)=0),"Resource 3 not in Resources sheet. ","")&amp;IF('Project Register'!O446="","Test Status missing. ","")&amp;IF(AND(ISNUMBER(E446),E446&gt;1),"This task alone needs over 100% per person. ","")&amp;IF(AND('Project Register'!Q446="Deployed in Live",'Project Register'!R446=""),"Release Date blank (import date will be used). ","")))</f>
        <v/>
      </c>
      <c r="G446" s="17" t="str">
        <f aca="false">IF('Project Register'!$A446="","",IF(F446="","OK","Check"))</f>
        <v/>
      </c>
    </row>
    <row r="447" customFormat="false" ht="15" hidden="false" customHeight="false" outlineLevel="0" collapsed="false">
      <c r="A447" s="15" t="str">
        <f aca="false">IF('Project Register'!$A447="","",ROW('Project Register'!A447))</f>
        <v/>
      </c>
      <c r="B447" s="15" t="str">
        <f aca="false">IF('Project Register'!$A447="","",'Project Register'!B447)</f>
        <v/>
      </c>
      <c r="C447" s="15" t="str">
        <f aca="false">IF('Project Register'!$A447="","",IF(OR('Project Register'!E447="",'Project Register'!F447=""),"",IF('Project Register'!F447&lt;'Project Register'!E447,0,NETWORKDAYS.INTL('Project Register'!E447,'Project Register'!F447,"0000110",Holidays_Leave!$A$3:$A$62))))</f>
        <v/>
      </c>
      <c r="D447" s="15" t="str">
        <f aca="false">IF('Project Register'!$A447="","",('Project Register'!H447&lt;&gt;"")+('Project Register'!J447&lt;&gt;"")+('Project Register'!L447&lt;&gt;""))</f>
        <v/>
      </c>
      <c r="E447" s="16" t="str">
        <f aca="false">IF(OR(C447="",D447="",'Project Register'!G447=""),"",IF(OR(C447=0,D447=0),"",'Project Register'!G447/(C447*D447)))</f>
        <v/>
      </c>
      <c r="F447" s="15" t="str">
        <f aca="false">IF('Project Register'!$A447="","",TRIM(IF(OR('Project Register'!E447="",'Project Register'!F447=""),"Missing date. ","")&amp;IF(AND('Project Register'!E447&lt;&gt;"",'Project Register'!F447&lt;&gt;"",'Project Register'!F447&lt;'Project Register'!E447),"End before start. ","")&amp;IF(NOT(ISNUMBER('Project Register'!G447)),"Effort missing. ","")&amp;IF(D447=0,"No resource. ","")&amp;IF(AND('Project Register'!H447&lt;&gt;"",'Project Register'!I447=""),"Role 1 missing. ","")&amp;IF(AND('Project Register'!J447&lt;&gt;"",'Project Register'!K447=""),"Role 2 missing. ","")&amp;IF(AND('Project Register'!L447&lt;&gt;"",'Project Register'!M447=""),"Role 3 missing. ","")&amp;IF(OR(AND('Project Register'!H447&lt;&gt;"",'Project Register'!H447='Project Register'!J447),AND('Project Register'!H447&lt;&gt;"",'Project Register'!H447='Project Register'!L447),AND('Project Register'!J447&lt;&gt;"",'Project Register'!J447='Project Register'!L447)),"Same person listed twice. ","")&amp;IF(AND('Project Register'!H447&lt;&gt;"",COUNTIF(Resources!$A$2:$A$51,'Project Register'!H447)=0),"Resource 1 not in Resources sheet. ","")&amp;IF(AND('Project Register'!J447&lt;&gt;"",COUNTIF(Resources!$A$2:$A$51,'Project Register'!J447)=0),"Resource 2 not in Resources sheet. ","")&amp;IF(AND('Project Register'!L447&lt;&gt;"",COUNTIF(Resources!$A$2:$A$51,'Project Register'!L447)=0),"Resource 3 not in Resources sheet. ","")&amp;IF('Project Register'!O447="","Test Status missing. ","")&amp;IF(AND(ISNUMBER(E447),E447&gt;1),"This task alone needs over 100% per person. ","")&amp;IF(AND('Project Register'!Q447="Deployed in Live",'Project Register'!R447=""),"Release Date blank (import date will be used). ","")))</f>
        <v/>
      </c>
      <c r="G447" s="17" t="str">
        <f aca="false">IF('Project Register'!$A447="","",IF(F447="","OK","Check"))</f>
        <v/>
      </c>
    </row>
    <row r="448" customFormat="false" ht="15" hidden="false" customHeight="false" outlineLevel="0" collapsed="false">
      <c r="A448" s="15" t="str">
        <f aca="false">IF('Project Register'!$A448="","",ROW('Project Register'!A448))</f>
        <v/>
      </c>
      <c r="B448" s="15" t="str">
        <f aca="false">IF('Project Register'!$A448="","",'Project Register'!B448)</f>
        <v/>
      </c>
      <c r="C448" s="15" t="str">
        <f aca="false">IF('Project Register'!$A448="","",IF(OR('Project Register'!E448="",'Project Register'!F448=""),"",IF('Project Register'!F448&lt;'Project Register'!E448,0,NETWORKDAYS.INTL('Project Register'!E448,'Project Register'!F448,"0000110",Holidays_Leave!$A$3:$A$62))))</f>
        <v/>
      </c>
      <c r="D448" s="15" t="str">
        <f aca="false">IF('Project Register'!$A448="","",('Project Register'!H448&lt;&gt;"")+('Project Register'!J448&lt;&gt;"")+('Project Register'!L448&lt;&gt;""))</f>
        <v/>
      </c>
      <c r="E448" s="16" t="str">
        <f aca="false">IF(OR(C448="",D448="",'Project Register'!G448=""),"",IF(OR(C448=0,D448=0),"",'Project Register'!G448/(C448*D448)))</f>
        <v/>
      </c>
      <c r="F448" s="15" t="str">
        <f aca="false">IF('Project Register'!$A448="","",TRIM(IF(OR('Project Register'!E448="",'Project Register'!F448=""),"Missing date. ","")&amp;IF(AND('Project Register'!E448&lt;&gt;"",'Project Register'!F448&lt;&gt;"",'Project Register'!F448&lt;'Project Register'!E448),"End before start. ","")&amp;IF(NOT(ISNUMBER('Project Register'!G448)),"Effort missing. ","")&amp;IF(D448=0,"No resource. ","")&amp;IF(AND('Project Register'!H448&lt;&gt;"",'Project Register'!I448=""),"Role 1 missing. ","")&amp;IF(AND('Project Register'!J448&lt;&gt;"",'Project Register'!K448=""),"Role 2 missing. ","")&amp;IF(AND('Project Register'!L448&lt;&gt;"",'Project Register'!M448=""),"Role 3 missing. ","")&amp;IF(OR(AND('Project Register'!H448&lt;&gt;"",'Project Register'!H448='Project Register'!J448),AND('Project Register'!H448&lt;&gt;"",'Project Register'!H448='Project Register'!L448),AND('Project Register'!J448&lt;&gt;"",'Project Register'!J448='Project Register'!L448)),"Same person listed twice. ","")&amp;IF(AND('Project Register'!H448&lt;&gt;"",COUNTIF(Resources!$A$2:$A$51,'Project Register'!H448)=0),"Resource 1 not in Resources sheet. ","")&amp;IF(AND('Project Register'!J448&lt;&gt;"",COUNTIF(Resources!$A$2:$A$51,'Project Register'!J448)=0),"Resource 2 not in Resources sheet. ","")&amp;IF(AND('Project Register'!L448&lt;&gt;"",COUNTIF(Resources!$A$2:$A$51,'Project Register'!L448)=0),"Resource 3 not in Resources sheet. ","")&amp;IF('Project Register'!O448="","Test Status missing. ","")&amp;IF(AND(ISNUMBER(E448),E448&gt;1),"This task alone needs over 100% per person. ","")&amp;IF(AND('Project Register'!Q448="Deployed in Live",'Project Register'!R448=""),"Release Date blank (import date will be used). ","")))</f>
        <v/>
      </c>
      <c r="G448" s="17" t="str">
        <f aca="false">IF('Project Register'!$A448="","",IF(F448="","OK","Check"))</f>
        <v/>
      </c>
    </row>
    <row r="449" customFormat="false" ht="15" hidden="false" customHeight="false" outlineLevel="0" collapsed="false">
      <c r="A449" s="15" t="str">
        <f aca="false">IF('Project Register'!$A449="","",ROW('Project Register'!A449))</f>
        <v/>
      </c>
      <c r="B449" s="15" t="str">
        <f aca="false">IF('Project Register'!$A449="","",'Project Register'!B449)</f>
        <v/>
      </c>
      <c r="C449" s="15" t="str">
        <f aca="false">IF('Project Register'!$A449="","",IF(OR('Project Register'!E449="",'Project Register'!F449=""),"",IF('Project Register'!F449&lt;'Project Register'!E449,0,NETWORKDAYS.INTL('Project Register'!E449,'Project Register'!F449,"0000110",Holidays_Leave!$A$3:$A$62))))</f>
        <v/>
      </c>
      <c r="D449" s="15" t="str">
        <f aca="false">IF('Project Register'!$A449="","",('Project Register'!H449&lt;&gt;"")+('Project Register'!J449&lt;&gt;"")+('Project Register'!L449&lt;&gt;""))</f>
        <v/>
      </c>
      <c r="E449" s="16" t="str">
        <f aca="false">IF(OR(C449="",D449="",'Project Register'!G449=""),"",IF(OR(C449=0,D449=0),"",'Project Register'!G449/(C449*D449)))</f>
        <v/>
      </c>
      <c r="F449" s="15" t="str">
        <f aca="false">IF('Project Register'!$A449="","",TRIM(IF(OR('Project Register'!E449="",'Project Register'!F449=""),"Missing date. ","")&amp;IF(AND('Project Register'!E449&lt;&gt;"",'Project Register'!F449&lt;&gt;"",'Project Register'!F449&lt;'Project Register'!E449),"End before start. ","")&amp;IF(NOT(ISNUMBER('Project Register'!G449)),"Effort missing. ","")&amp;IF(D449=0,"No resource. ","")&amp;IF(AND('Project Register'!H449&lt;&gt;"",'Project Register'!I449=""),"Role 1 missing. ","")&amp;IF(AND('Project Register'!J449&lt;&gt;"",'Project Register'!K449=""),"Role 2 missing. ","")&amp;IF(AND('Project Register'!L449&lt;&gt;"",'Project Register'!M449=""),"Role 3 missing. ","")&amp;IF(OR(AND('Project Register'!H449&lt;&gt;"",'Project Register'!H449='Project Register'!J449),AND('Project Register'!H449&lt;&gt;"",'Project Register'!H449='Project Register'!L449),AND('Project Register'!J449&lt;&gt;"",'Project Register'!J449='Project Register'!L449)),"Same person listed twice. ","")&amp;IF(AND('Project Register'!H449&lt;&gt;"",COUNTIF(Resources!$A$2:$A$51,'Project Register'!H449)=0),"Resource 1 not in Resources sheet. ","")&amp;IF(AND('Project Register'!J449&lt;&gt;"",COUNTIF(Resources!$A$2:$A$51,'Project Register'!J449)=0),"Resource 2 not in Resources sheet. ","")&amp;IF(AND('Project Register'!L449&lt;&gt;"",COUNTIF(Resources!$A$2:$A$51,'Project Register'!L449)=0),"Resource 3 not in Resources sheet. ","")&amp;IF('Project Register'!O449="","Test Status missing. ","")&amp;IF(AND(ISNUMBER(E449),E449&gt;1),"This task alone needs over 100% per person. ","")&amp;IF(AND('Project Register'!Q449="Deployed in Live",'Project Register'!R449=""),"Release Date blank (import date will be used). ","")))</f>
        <v/>
      </c>
      <c r="G449" s="17" t="str">
        <f aca="false">IF('Project Register'!$A449="","",IF(F449="","OK","Check"))</f>
        <v/>
      </c>
    </row>
    <row r="450" customFormat="false" ht="15" hidden="false" customHeight="false" outlineLevel="0" collapsed="false">
      <c r="A450" s="15" t="str">
        <f aca="false">IF('Project Register'!$A450="","",ROW('Project Register'!A450))</f>
        <v/>
      </c>
      <c r="B450" s="15" t="str">
        <f aca="false">IF('Project Register'!$A450="","",'Project Register'!B450)</f>
        <v/>
      </c>
      <c r="C450" s="15" t="str">
        <f aca="false">IF('Project Register'!$A450="","",IF(OR('Project Register'!E450="",'Project Register'!F450=""),"",IF('Project Register'!F450&lt;'Project Register'!E450,0,NETWORKDAYS.INTL('Project Register'!E450,'Project Register'!F450,"0000110",Holidays_Leave!$A$3:$A$62))))</f>
        <v/>
      </c>
      <c r="D450" s="15" t="str">
        <f aca="false">IF('Project Register'!$A450="","",('Project Register'!H450&lt;&gt;"")+('Project Register'!J450&lt;&gt;"")+('Project Register'!L450&lt;&gt;""))</f>
        <v/>
      </c>
      <c r="E450" s="16" t="str">
        <f aca="false">IF(OR(C450="",D450="",'Project Register'!G450=""),"",IF(OR(C450=0,D450=0),"",'Project Register'!G450/(C450*D450)))</f>
        <v/>
      </c>
      <c r="F450" s="15" t="str">
        <f aca="false">IF('Project Register'!$A450="","",TRIM(IF(OR('Project Register'!E450="",'Project Register'!F450=""),"Missing date. ","")&amp;IF(AND('Project Register'!E450&lt;&gt;"",'Project Register'!F450&lt;&gt;"",'Project Register'!F450&lt;'Project Register'!E450),"End before start. ","")&amp;IF(NOT(ISNUMBER('Project Register'!G450)),"Effort missing. ","")&amp;IF(D450=0,"No resource. ","")&amp;IF(AND('Project Register'!H450&lt;&gt;"",'Project Register'!I450=""),"Role 1 missing. ","")&amp;IF(AND('Project Register'!J450&lt;&gt;"",'Project Register'!K450=""),"Role 2 missing. ","")&amp;IF(AND('Project Register'!L450&lt;&gt;"",'Project Register'!M450=""),"Role 3 missing. ","")&amp;IF(OR(AND('Project Register'!H450&lt;&gt;"",'Project Register'!H450='Project Register'!J450),AND('Project Register'!H450&lt;&gt;"",'Project Register'!H450='Project Register'!L450),AND('Project Register'!J450&lt;&gt;"",'Project Register'!J450='Project Register'!L450)),"Same person listed twice. ","")&amp;IF(AND('Project Register'!H450&lt;&gt;"",COUNTIF(Resources!$A$2:$A$51,'Project Register'!H450)=0),"Resource 1 not in Resources sheet. ","")&amp;IF(AND('Project Register'!J450&lt;&gt;"",COUNTIF(Resources!$A$2:$A$51,'Project Register'!J450)=0),"Resource 2 not in Resources sheet. ","")&amp;IF(AND('Project Register'!L450&lt;&gt;"",COUNTIF(Resources!$A$2:$A$51,'Project Register'!L450)=0),"Resource 3 not in Resources sheet. ","")&amp;IF('Project Register'!O450="","Test Status missing. ","")&amp;IF(AND(ISNUMBER(E450),E450&gt;1),"This task alone needs over 100% per person. ","")&amp;IF(AND('Project Register'!Q450="Deployed in Live",'Project Register'!R450=""),"Release Date blank (import date will be used). ","")))</f>
        <v/>
      </c>
      <c r="G450" s="17" t="str">
        <f aca="false">IF('Project Register'!$A450="","",IF(F450="","OK","Check"))</f>
        <v/>
      </c>
    </row>
    <row r="451" customFormat="false" ht="15" hidden="false" customHeight="false" outlineLevel="0" collapsed="false">
      <c r="A451" s="15" t="str">
        <f aca="false">IF('Project Register'!$A451="","",ROW('Project Register'!A451))</f>
        <v/>
      </c>
      <c r="B451" s="15" t="str">
        <f aca="false">IF('Project Register'!$A451="","",'Project Register'!B451)</f>
        <v/>
      </c>
      <c r="C451" s="15" t="str">
        <f aca="false">IF('Project Register'!$A451="","",IF(OR('Project Register'!E451="",'Project Register'!F451=""),"",IF('Project Register'!F451&lt;'Project Register'!E451,0,NETWORKDAYS.INTL('Project Register'!E451,'Project Register'!F451,"0000110",Holidays_Leave!$A$3:$A$62))))</f>
        <v/>
      </c>
      <c r="D451" s="15" t="str">
        <f aca="false">IF('Project Register'!$A451="","",('Project Register'!H451&lt;&gt;"")+('Project Register'!J451&lt;&gt;"")+('Project Register'!L451&lt;&gt;""))</f>
        <v/>
      </c>
      <c r="E451" s="16" t="str">
        <f aca="false">IF(OR(C451="",D451="",'Project Register'!G451=""),"",IF(OR(C451=0,D451=0),"",'Project Register'!G451/(C451*D451)))</f>
        <v/>
      </c>
      <c r="F451" s="15" t="str">
        <f aca="false">IF('Project Register'!$A451="","",TRIM(IF(OR('Project Register'!E451="",'Project Register'!F451=""),"Missing date. ","")&amp;IF(AND('Project Register'!E451&lt;&gt;"",'Project Register'!F451&lt;&gt;"",'Project Register'!F451&lt;'Project Register'!E451),"End before start. ","")&amp;IF(NOT(ISNUMBER('Project Register'!G451)),"Effort missing. ","")&amp;IF(D451=0,"No resource. ","")&amp;IF(AND('Project Register'!H451&lt;&gt;"",'Project Register'!I451=""),"Role 1 missing. ","")&amp;IF(AND('Project Register'!J451&lt;&gt;"",'Project Register'!K451=""),"Role 2 missing. ","")&amp;IF(AND('Project Register'!L451&lt;&gt;"",'Project Register'!M451=""),"Role 3 missing. ","")&amp;IF(OR(AND('Project Register'!H451&lt;&gt;"",'Project Register'!H451='Project Register'!J451),AND('Project Register'!H451&lt;&gt;"",'Project Register'!H451='Project Register'!L451),AND('Project Register'!J451&lt;&gt;"",'Project Register'!J451='Project Register'!L451)),"Same person listed twice. ","")&amp;IF(AND('Project Register'!H451&lt;&gt;"",COUNTIF(Resources!$A$2:$A$51,'Project Register'!H451)=0),"Resource 1 not in Resources sheet. ","")&amp;IF(AND('Project Register'!J451&lt;&gt;"",COUNTIF(Resources!$A$2:$A$51,'Project Register'!J451)=0),"Resource 2 not in Resources sheet. ","")&amp;IF(AND('Project Register'!L451&lt;&gt;"",COUNTIF(Resources!$A$2:$A$51,'Project Register'!L451)=0),"Resource 3 not in Resources sheet. ","")&amp;IF('Project Register'!O451="","Test Status missing. ","")&amp;IF(AND(ISNUMBER(E451),E451&gt;1),"This task alone needs over 100% per person. ","")&amp;IF(AND('Project Register'!Q451="Deployed in Live",'Project Register'!R451=""),"Release Date blank (import date will be used). ","")))</f>
        <v/>
      </c>
      <c r="G451" s="17" t="str">
        <f aca="false">IF('Project Register'!$A451="","",IF(F451="","OK","Check"))</f>
        <v/>
      </c>
    </row>
    <row r="452" customFormat="false" ht="15" hidden="false" customHeight="false" outlineLevel="0" collapsed="false">
      <c r="A452" s="15" t="str">
        <f aca="false">IF('Project Register'!$A452="","",ROW('Project Register'!A452))</f>
        <v/>
      </c>
      <c r="B452" s="15" t="str">
        <f aca="false">IF('Project Register'!$A452="","",'Project Register'!B452)</f>
        <v/>
      </c>
      <c r="C452" s="15" t="str">
        <f aca="false">IF('Project Register'!$A452="","",IF(OR('Project Register'!E452="",'Project Register'!F452=""),"",IF('Project Register'!F452&lt;'Project Register'!E452,0,NETWORKDAYS.INTL('Project Register'!E452,'Project Register'!F452,"0000110",Holidays_Leave!$A$3:$A$62))))</f>
        <v/>
      </c>
      <c r="D452" s="15" t="str">
        <f aca="false">IF('Project Register'!$A452="","",('Project Register'!H452&lt;&gt;"")+('Project Register'!J452&lt;&gt;"")+('Project Register'!L452&lt;&gt;""))</f>
        <v/>
      </c>
      <c r="E452" s="16" t="str">
        <f aca="false">IF(OR(C452="",D452="",'Project Register'!G452=""),"",IF(OR(C452=0,D452=0),"",'Project Register'!G452/(C452*D452)))</f>
        <v/>
      </c>
      <c r="F452" s="15" t="str">
        <f aca="false">IF('Project Register'!$A452="","",TRIM(IF(OR('Project Register'!E452="",'Project Register'!F452=""),"Missing date. ","")&amp;IF(AND('Project Register'!E452&lt;&gt;"",'Project Register'!F452&lt;&gt;"",'Project Register'!F452&lt;'Project Register'!E452),"End before start. ","")&amp;IF(NOT(ISNUMBER('Project Register'!G452)),"Effort missing. ","")&amp;IF(D452=0,"No resource. ","")&amp;IF(AND('Project Register'!H452&lt;&gt;"",'Project Register'!I452=""),"Role 1 missing. ","")&amp;IF(AND('Project Register'!J452&lt;&gt;"",'Project Register'!K452=""),"Role 2 missing. ","")&amp;IF(AND('Project Register'!L452&lt;&gt;"",'Project Register'!M452=""),"Role 3 missing. ","")&amp;IF(OR(AND('Project Register'!H452&lt;&gt;"",'Project Register'!H452='Project Register'!J452),AND('Project Register'!H452&lt;&gt;"",'Project Register'!H452='Project Register'!L452),AND('Project Register'!J452&lt;&gt;"",'Project Register'!J452='Project Register'!L452)),"Same person listed twice. ","")&amp;IF(AND('Project Register'!H452&lt;&gt;"",COUNTIF(Resources!$A$2:$A$51,'Project Register'!H452)=0),"Resource 1 not in Resources sheet. ","")&amp;IF(AND('Project Register'!J452&lt;&gt;"",COUNTIF(Resources!$A$2:$A$51,'Project Register'!J452)=0),"Resource 2 not in Resources sheet. ","")&amp;IF(AND('Project Register'!L452&lt;&gt;"",COUNTIF(Resources!$A$2:$A$51,'Project Register'!L452)=0),"Resource 3 not in Resources sheet. ","")&amp;IF('Project Register'!O452="","Test Status missing. ","")&amp;IF(AND(ISNUMBER(E452),E452&gt;1),"This task alone needs over 100% per person. ","")&amp;IF(AND('Project Register'!Q452="Deployed in Live",'Project Register'!R452=""),"Release Date blank (import date will be used). ","")))</f>
        <v/>
      </c>
      <c r="G452" s="17" t="str">
        <f aca="false">IF('Project Register'!$A452="","",IF(F452="","OK","Check"))</f>
        <v/>
      </c>
    </row>
    <row r="453" customFormat="false" ht="15" hidden="false" customHeight="false" outlineLevel="0" collapsed="false">
      <c r="A453" s="15" t="str">
        <f aca="false">IF('Project Register'!$A453="","",ROW('Project Register'!A453))</f>
        <v/>
      </c>
      <c r="B453" s="15" t="str">
        <f aca="false">IF('Project Register'!$A453="","",'Project Register'!B453)</f>
        <v/>
      </c>
      <c r="C453" s="15" t="str">
        <f aca="false">IF('Project Register'!$A453="","",IF(OR('Project Register'!E453="",'Project Register'!F453=""),"",IF('Project Register'!F453&lt;'Project Register'!E453,0,NETWORKDAYS.INTL('Project Register'!E453,'Project Register'!F453,"0000110",Holidays_Leave!$A$3:$A$62))))</f>
        <v/>
      </c>
      <c r="D453" s="15" t="str">
        <f aca="false">IF('Project Register'!$A453="","",('Project Register'!H453&lt;&gt;"")+('Project Register'!J453&lt;&gt;"")+('Project Register'!L453&lt;&gt;""))</f>
        <v/>
      </c>
      <c r="E453" s="16" t="str">
        <f aca="false">IF(OR(C453="",D453="",'Project Register'!G453=""),"",IF(OR(C453=0,D453=0),"",'Project Register'!G453/(C453*D453)))</f>
        <v/>
      </c>
      <c r="F453" s="15" t="str">
        <f aca="false">IF('Project Register'!$A453="","",TRIM(IF(OR('Project Register'!E453="",'Project Register'!F453=""),"Missing date. ","")&amp;IF(AND('Project Register'!E453&lt;&gt;"",'Project Register'!F453&lt;&gt;"",'Project Register'!F453&lt;'Project Register'!E453),"End before start. ","")&amp;IF(NOT(ISNUMBER('Project Register'!G453)),"Effort missing. ","")&amp;IF(D453=0,"No resource. ","")&amp;IF(AND('Project Register'!H453&lt;&gt;"",'Project Register'!I453=""),"Role 1 missing. ","")&amp;IF(AND('Project Register'!J453&lt;&gt;"",'Project Register'!K453=""),"Role 2 missing. ","")&amp;IF(AND('Project Register'!L453&lt;&gt;"",'Project Register'!M453=""),"Role 3 missing. ","")&amp;IF(OR(AND('Project Register'!H453&lt;&gt;"",'Project Register'!H453='Project Register'!J453),AND('Project Register'!H453&lt;&gt;"",'Project Register'!H453='Project Register'!L453),AND('Project Register'!J453&lt;&gt;"",'Project Register'!J453='Project Register'!L453)),"Same person listed twice. ","")&amp;IF(AND('Project Register'!H453&lt;&gt;"",COUNTIF(Resources!$A$2:$A$51,'Project Register'!H453)=0),"Resource 1 not in Resources sheet. ","")&amp;IF(AND('Project Register'!J453&lt;&gt;"",COUNTIF(Resources!$A$2:$A$51,'Project Register'!J453)=0),"Resource 2 not in Resources sheet. ","")&amp;IF(AND('Project Register'!L453&lt;&gt;"",COUNTIF(Resources!$A$2:$A$51,'Project Register'!L453)=0),"Resource 3 not in Resources sheet. ","")&amp;IF('Project Register'!O453="","Test Status missing. ","")&amp;IF(AND(ISNUMBER(E453),E453&gt;1),"This task alone needs over 100% per person. ","")&amp;IF(AND('Project Register'!Q453="Deployed in Live",'Project Register'!R453=""),"Release Date blank (import date will be used). ","")))</f>
        <v/>
      </c>
      <c r="G453" s="17" t="str">
        <f aca="false">IF('Project Register'!$A453="","",IF(F453="","OK","Check"))</f>
        <v/>
      </c>
    </row>
    <row r="454" customFormat="false" ht="15" hidden="false" customHeight="false" outlineLevel="0" collapsed="false">
      <c r="A454" s="15" t="str">
        <f aca="false">IF('Project Register'!$A454="","",ROW('Project Register'!A454))</f>
        <v/>
      </c>
      <c r="B454" s="15" t="str">
        <f aca="false">IF('Project Register'!$A454="","",'Project Register'!B454)</f>
        <v/>
      </c>
      <c r="C454" s="15" t="str">
        <f aca="false">IF('Project Register'!$A454="","",IF(OR('Project Register'!E454="",'Project Register'!F454=""),"",IF('Project Register'!F454&lt;'Project Register'!E454,0,NETWORKDAYS.INTL('Project Register'!E454,'Project Register'!F454,"0000110",Holidays_Leave!$A$3:$A$62))))</f>
        <v/>
      </c>
      <c r="D454" s="15" t="str">
        <f aca="false">IF('Project Register'!$A454="","",('Project Register'!H454&lt;&gt;"")+('Project Register'!J454&lt;&gt;"")+('Project Register'!L454&lt;&gt;""))</f>
        <v/>
      </c>
      <c r="E454" s="16" t="str">
        <f aca="false">IF(OR(C454="",D454="",'Project Register'!G454=""),"",IF(OR(C454=0,D454=0),"",'Project Register'!G454/(C454*D454)))</f>
        <v/>
      </c>
      <c r="F454" s="15" t="str">
        <f aca="false">IF('Project Register'!$A454="","",TRIM(IF(OR('Project Register'!E454="",'Project Register'!F454=""),"Missing date. ","")&amp;IF(AND('Project Register'!E454&lt;&gt;"",'Project Register'!F454&lt;&gt;"",'Project Register'!F454&lt;'Project Register'!E454),"End before start. ","")&amp;IF(NOT(ISNUMBER('Project Register'!G454)),"Effort missing. ","")&amp;IF(D454=0,"No resource. ","")&amp;IF(AND('Project Register'!H454&lt;&gt;"",'Project Register'!I454=""),"Role 1 missing. ","")&amp;IF(AND('Project Register'!J454&lt;&gt;"",'Project Register'!K454=""),"Role 2 missing. ","")&amp;IF(AND('Project Register'!L454&lt;&gt;"",'Project Register'!M454=""),"Role 3 missing. ","")&amp;IF(OR(AND('Project Register'!H454&lt;&gt;"",'Project Register'!H454='Project Register'!J454),AND('Project Register'!H454&lt;&gt;"",'Project Register'!H454='Project Register'!L454),AND('Project Register'!J454&lt;&gt;"",'Project Register'!J454='Project Register'!L454)),"Same person listed twice. ","")&amp;IF(AND('Project Register'!H454&lt;&gt;"",COUNTIF(Resources!$A$2:$A$51,'Project Register'!H454)=0),"Resource 1 not in Resources sheet. ","")&amp;IF(AND('Project Register'!J454&lt;&gt;"",COUNTIF(Resources!$A$2:$A$51,'Project Register'!J454)=0),"Resource 2 not in Resources sheet. ","")&amp;IF(AND('Project Register'!L454&lt;&gt;"",COUNTIF(Resources!$A$2:$A$51,'Project Register'!L454)=0),"Resource 3 not in Resources sheet. ","")&amp;IF('Project Register'!O454="","Test Status missing. ","")&amp;IF(AND(ISNUMBER(E454),E454&gt;1),"This task alone needs over 100% per person. ","")&amp;IF(AND('Project Register'!Q454="Deployed in Live",'Project Register'!R454=""),"Release Date blank (import date will be used). ","")))</f>
        <v/>
      </c>
      <c r="G454" s="17" t="str">
        <f aca="false">IF('Project Register'!$A454="","",IF(F454="","OK","Check"))</f>
        <v/>
      </c>
    </row>
    <row r="455" customFormat="false" ht="15" hidden="false" customHeight="false" outlineLevel="0" collapsed="false">
      <c r="A455" s="15" t="str">
        <f aca="false">IF('Project Register'!$A455="","",ROW('Project Register'!A455))</f>
        <v/>
      </c>
      <c r="B455" s="15" t="str">
        <f aca="false">IF('Project Register'!$A455="","",'Project Register'!B455)</f>
        <v/>
      </c>
      <c r="C455" s="15" t="str">
        <f aca="false">IF('Project Register'!$A455="","",IF(OR('Project Register'!E455="",'Project Register'!F455=""),"",IF('Project Register'!F455&lt;'Project Register'!E455,0,NETWORKDAYS.INTL('Project Register'!E455,'Project Register'!F455,"0000110",Holidays_Leave!$A$3:$A$62))))</f>
        <v/>
      </c>
      <c r="D455" s="15" t="str">
        <f aca="false">IF('Project Register'!$A455="","",('Project Register'!H455&lt;&gt;"")+('Project Register'!J455&lt;&gt;"")+('Project Register'!L455&lt;&gt;""))</f>
        <v/>
      </c>
      <c r="E455" s="16" t="str">
        <f aca="false">IF(OR(C455="",D455="",'Project Register'!G455=""),"",IF(OR(C455=0,D455=0),"",'Project Register'!G455/(C455*D455)))</f>
        <v/>
      </c>
      <c r="F455" s="15" t="str">
        <f aca="false">IF('Project Register'!$A455="","",TRIM(IF(OR('Project Register'!E455="",'Project Register'!F455=""),"Missing date. ","")&amp;IF(AND('Project Register'!E455&lt;&gt;"",'Project Register'!F455&lt;&gt;"",'Project Register'!F455&lt;'Project Register'!E455),"End before start. ","")&amp;IF(NOT(ISNUMBER('Project Register'!G455)),"Effort missing. ","")&amp;IF(D455=0,"No resource. ","")&amp;IF(AND('Project Register'!H455&lt;&gt;"",'Project Register'!I455=""),"Role 1 missing. ","")&amp;IF(AND('Project Register'!J455&lt;&gt;"",'Project Register'!K455=""),"Role 2 missing. ","")&amp;IF(AND('Project Register'!L455&lt;&gt;"",'Project Register'!M455=""),"Role 3 missing. ","")&amp;IF(OR(AND('Project Register'!H455&lt;&gt;"",'Project Register'!H455='Project Register'!J455),AND('Project Register'!H455&lt;&gt;"",'Project Register'!H455='Project Register'!L455),AND('Project Register'!J455&lt;&gt;"",'Project Register'!J455='Project Register'!L455)),"Same person listed twice. ","")&amp;IF(AND('Project Register'!H455&lt;&gt;"",COUNTIF(Resources!$A$2:$A$51,'Project Register'!H455)=0),"Resource 1 not in Resources sheet. ","")&amp;IF(AND('Project Register'!J455&lt;&gt;"",COUNTIF(Resources!$A$2:$A$51,'Project Register'!J455)=0),"Resource 2 not in Resources sheet. ","")&amp;IF(AND('Project Register'!L455&lt;&gt;"",COUNTIF(Resources!$A$2:$A$51,'Project Register'!L455)=0),"Resource 3 not in Resources sheet. ","")&amp;IF('Project Register'!O455="","Test Status missing. ","")&amp;IF(AND(ISNUMBER(E455),E455&gt;1),"This task alone needs over 100% per person. ","")&amp;IF(AND('Project Register'!Q455="Deployed in Live",'Project Register'!R455=""),"Release Date blank (import date will be used). ","")))</f>
        <v/>
      </c>
      <c r="G455" s="17" t="str">
        <f aca="false">IF('Project Register'!$A455="","",IF(F455="","OK","Check"))</f>
        <v/>
      </c>
    </row>
    <row r="456" customFormat="false" ht="15" hidden="false" customHeight="false" outlineLevel="0" collapsed="false">
      <c r="A456" s="15" t="str">
        <f aca="false">IF('Project Register'!$A456="","",ROW('Project Register'!A456))</f>
        <v/>
      </c>
      <c r="B456" s="15" t="str">
        <f aca="false">IF('Project Register'!$A456="","",'Project Register'!B456)</f>
        <v/>
      </c>
      <c r="C456" s="15" t="str">
        <f aca="false">IF('Project Register'!$A456="","",IF(OR('Project Register'!E456="",'Project Register'!F456=""),"",IF('Project Register'!F456&lt;'Project Register'!E456,0,NETWORKDAYS.INTL('Project Register'!E456,'Project Register'!F456,"0000110",Holidays_Leave!$A$3:$A$62))))</f>
        <v/>
      </c>
      <c r="D456" s="15" t="str">
        <f aca="false">IF('Project Register'!$A456="","",('Project Register'!H456&lt;&gt;"")+('Project Register'!J456&lt;&gt;"")+('Project Register'!L456&lt;&gt;""))</f>
        <v/>
      </c>
      <c r="E456" s="16" t="str">
        <f aca="false">IF(OR(C456="",D456="",'Project Register'!G456=""),"",IF(OR(C456=0,D456=0),"",'Project Register'!G456/(C456*D456)))</f>
        <v/>
      </c>
      <c r="F456" s="15" t="str">
        <f aca="false">IF('Project Register'!$A456="","",TRIM(IF(OR('Project Register'!E456="",'Project Register'!F456=""),"Missing date. ","")&amp;IF(AND('Project Register'!E456&lt;&gt;"",'Project Register'!F456&lt;&gt;"",'Project Register'!F456&lt;'Project Register'!E456),"End before start. ","")&amp;IF(NOT(ISNUMBER('Project Register'!G456)),"Effort missing. ","")&amp;IF(D456=0,"No resource. ","")&amp;IF(AND('Project Register'!H456&lt;&gt;"",'Project Register'!I456=""),"Role 1 missing. ","")&amp;IF(AND('Project Register'!J456&lt;&gt;"",'Project Register'!K456=""),"Role 2 missing. ","")&amp;IF(AND('Project Register'!L456&lt;&gt;"",'Project Register'!M456=""),"Role 3 missing. ","")&amp;IF(OR(AND('Project Register'!H456&lt;&gt;"",'Project Register'!H456='Project Register'!J456),AND('Project Register'!H456&lt;&gt;"",'Project Register'!H456='Project Register'!L456),AND('Project Register'!J456&lt;&gt;"",'Project Register'!J456='Project Register'!L456)),"Same person listed twice. ","")&amp;IF(AND('Project Register'!H456&lt;&gt;"",COUNTIF(Resources!$A$2:$A$51,'Project Register'!H456)=0),"Resource 1 not in Resources sheet. ","")&amp;IF(AND('Project Register'!J456&lt;&gt;"",COUNTIF(Resources!$A$2:$A$51,'Project Register'!J456)=0),"Resource 2 not in Resources sheet. ","")&amp;IF(AND('Project Register'!L456&lt;&gt;"",COUNTIF(Resources!$A$2:$A$51,'Project Register'!L456)=0),"Resource 3 not in Resources sheet. ","")&amp;IF('Project Register'!O456="","Test Status missing. ","")&amp;IF(AND(ISNUMBER(E456),E456&gt;1),"This task alone needs over 100% per person. ","")&amp;IF(AND('Project Register'!Q456="Deployed in Live",'Project Register'!R456=""),"Release Date blank (import date will be used). ","")))</f>
        <v/>
      </c>
      <c r="G456" s="17" t="str">
        <f aca="false">IF('Project Register'!$A456="","",IF(F456="","OK","Check"))</f>
        <v/>
      </c>
    </row>
    <row r="457" customFormat="false" ht="15" hidden="false" customHeight="false" outlineLevel="0" collapsed="false">
      <c r="A457" s="15" t="str">
        <f aca="false">IF('Project Register'!$A457="","",ROW('Project Register'!A457))</f>
        <v/>
      </c>
      <c r="B457" s="15" t="str">
        <f aca="false">IF('Project Register'!$A457="","",'Project Register'!B457)</f>
        <v/>
      </c>
      <c r="C457" s="15" t="str">
        <f aca="false">IF('Project Register'!$A457="","",IF(OR('Project Register'!E457="",'Project Register'!F457=""),"",IF('Project Register'!F457&lt;'Project Register'!E457,0,NETWORKDAYS.INTL('Project Register'!E457,'Project Register'!F457,"0000110",Holidays_Leave!$A$3:$A$62))))</f>
        <v/>
      </c>
      <c r="D457" s="15" t="str">
        <f aca="false">IF('Project Register'!$A457="","",('Project Register'!H457&lt;&gt;"")+('Project Register'!J457&lt;&gt;"")+('Project Register'!L457&lt;&gt;""))</f>
        <v/>
      </c>
      <c r="E457" s="16" t="str">
        <f aca="false">IF(OR(C457="",D457="",'Project Register'!G457=""),"",IF(OR(C457=0,D457=0),"",'Project Register'!G457/(C457*D457)))</f>
        <v/>
      </c>
      <c r="F457" s="15" t="str">
        <f aca="false">IF('Project Register'!$A457="","",TRIM(IF(OR('Project Register'!E457="",'Project Register'!F457=""),"Missing date. ","")&amp;IF(AND('Project Register'!E457&lt;&gt;"",'Project Register'!F457&lt;&gt;"",'Project Register'!F457&lt;'Project Register'!E457),"End before start. ","")&amp;IF(NOT(ISNUMBER('Project Register'!G457)),"Effort missing. ","")&amp;IF(D457=0,"No resource. ","")&amp;IF(AND('Project Register'!H457&lt;&gt;"",'Project Register'!I457=""),"Role 1 missing. ","")&amp;IF(AND('Project Register'!J457&lt;&gt;"",'Project Register'!K457=""),"Role 2 missing. ","")&amp;IF(AND('Project Register'!L457&lt;&gt;"",'Project Register'!M457=""),"Role 3 missing. ","")&amp;IF(OR(AND('Project Register'!H457&lt;&gt;"",'Project Register'!H457='Project Register'!J457),AND('Project Register'!H457&lt;&gt;"",'Project Register'!H457='Project Register'!L457),AND('Project Register'!J457&lt;&gt;"",'Project Register'!J457='Project Register'!L457)),"Same person listed twice. ","")&amp;IF(AND('Project Register'!H457&lt;&gt;"",COUNTIF(Resources!$A$2:$A$51,'Project Register'!H457)=0),"Resource 1 not in Resources sheet. ","")&amp;IF(AND('Project Register'!J457&lt;&gt;"",COUNTIF(Resources!$A$2:$A$51,'Project Register'!J457)=0),"Resource 2 not in Resources sheet. ","")&amp;IF(AND('Project Register'!L457&lt;&gt;"",COUNTIF(Resources!$A$2:$A$51,'Project Register'!L457)=0),"Resource 3 not in Resources sheet. ","")&amp;IF('Project Register'!O457="","Test Status missing. ","")&amp;IF(AND(ISNUMBER(E457),E457&gt;1),"This task alone needs over 100% per person. ","")&amp;IF(AND('Project Register'!Q457="Deployed in Live",'Project Register'!R457=""),"Release Date blank (import date will be used). ","")))</f>
        <v/>
      </c>
      <c r="G457" s="17" t="str">
        <f aca="false">IF('Project Register'!$A457="","",IF(F457="","OK","Check"))</f>
        <v/>
      </c>
    </row>
    <row r="458" customFormat="false" ht="15" hidden="false" customHeight="false" outlineLevel="0" collapsed="false">
      <c r="A458" s="15" t="str">
        <f aca="false">IF('Project Register'!$A458="","",ROW('Project Register'!A458))</f>
        <v/>
      </c>
      <c r="B458" s="15" t="str">
        <f aca="false">IF('Project Register'!$A458="","",'Project Register'!B458)</f>
        <v/>
      </c>
      <c r="C458" s="15" t="str">
        <f aca="false">IF('Project Register'!$A458="","",IF(OR('Project Register'!E458="",'Project Register'!F458=""),"",IF('Project Register'!F458&lt;'Project Register'!E458,0,NETWORKDAYS.INTL('Project Register'!E458,'Project Register'!F458,"0000110",Holidays_Leave!$A$3:$A$62))))</f>
        <v/>
      </c>
      <c r="D458" s="15" t="str">
        <f aca="false">IF('Project Register'!$A458="","",('Project Register'!H458&lt;&gt;"")+('Project Register'!J458&lt;&gt;"")+('Project Register'!L458&lt;&gt;""))</f>
        <v/>
      </c>
      <c r="E458" s="16" t="str">
        <f aca="false">IF(OR(C458="",D458="",'Project Register'!G458=""),"",IF(OR(C458=0,D458=0),"",'Project Register'!G458/(C458*D458)))</f>
        <v/>
      </c>
      <c r="F458" s="15" t="str">
        <f aca="false">IF('Project Register'!$A458="","",TRIM(IF(OR('Project Register'!E458="",'Project Register'!F458=""),"Missing date. ","")&amp;IF(AND('Project Register'!E458&lt;&gt;"",'Project Register'!F458&lt;&gt;"",'Project Register'!F458&lt;'Project Register'!E458),"End before start. ","")&amp;IF(NOT(ISNUMBER('Project Register'!G458)),"Effort missing. ","")&amp;IF(D458=0,"No resource. ","")&amp;IF(AND('Project Register'!H458&lt;&gt;"",'Project Register'!I458=""),"Role 1 missing. ","")&amp;IF(AND('Project Register'!J458&lt;&gt;"",'Project Register'!K458=""),"Role 2 missing. ","")&amp;IF(AND('Project Register'!L458&lt;&gt;"",'Project Register'!M458=""),"Role 3 missing. ","")&amp;IF(OR(AND('Project Register'!H458&lt;&gt;"",'Project Register'!H458='Project Register'!J458),AND('Project Register'!H458&lt;&gt;"",'Project Register'!H458='Project Register'!L458),AND('Project Register'!J458&lt;&gt;"",'Project Register'!J458='Project Register'!L458)),"Same person listed twice. ","")&amp;IF(AND('Project Register'!H458&lt;&gt;"",COUNTIF(Resources!$A$2:$A$51,'Project Register'!H458)=0),"Resource 1 not in Resources sheet. ","")&amp;IF(AND('Project Register'!J458&lt;&gt;"",COUNTIF(Resources!$A$2:$A$51,'Project Register'!J458)=0),"Resource 2 not in Resources sheet. ","")&amp;IF(AND('Project Register'!L458&lt;&gt;"",COUNTIF(Resources!$A$2:$A$51,'Project Register'!L458)=0),"Resource 3 not in Resources sheet. ","")&amp;IF('Project Register'!O458="","Test Status missing. ","")&amp;IF(AND(ISNUMBER(E458),E458&gt;1),"This task alone needs over 100% per person. ","")&amp;IF(AND('Project Register'!Q458="Deployed in Live",'Project Register'!R458=""),"Release Date blank (import date will be used). ","")))</f>
        <v/>
      </c>
      <c r="G458" s="17" t="str">
        <f aca="false">IF('Project Register'!$A458="","",IF(F458="","OK","Check"))</f>
        <v/>
      </c>
    </row>
    <row r="459" customFormat="false" ht="15" hidden="false" customHeight="false" outlineLevel="0" collapsed="false">
      <c r="A459" s="15" t="str">
        <f aca="false">IF('Project Register'!$A459="","",ROW('Project Register'!A459))</f>
        <v/>
      </c>
      <c r="B459" s="15" t="str">
        <f aca="false">IF('Project Register'!$A459="","",'Project Register'!B459)</f>
        <v/>
      </c>
      <c r="C459" s="15" t="str">
        <f aca="false">IF('Project Register'!$A459="","",IF(OR('Project Register'!E459="",'Project Register'!F459=""),"",IF('Project Register'!F459&lt;'Project Register'!E459,0,NETWORKDAYS.INTL('Project Register'!E459,'Project Register'!F459,"0000110",Holidays_Leave!$A$3:$A$62))))</f>
        <v/>
      </c>
      <c r="D459" s="15" t="str">
        <f aca="false">IF('Project Register'!$A459="","",('Project Register'!H459&lt;&gt;"")+('Project Register'!J459&lt;&gt;"")+('Project Register'!L459&lt;&gt;""))</f>
        <v/>
      </c>
      <c r="E459" s="16" t="str">
        <f aca="false">IF(OR(C459="",D459="",'Project Register'!G459=""),"",IF(OR(C459=0,D459=0),"",'Project Register'!G459/(C459*D459)))</f>
        <v/>
      </c>
      <c r="F459" s="15" t="str">
        <f aca="false">IF('Project Register'!$A459="","",TRIM(IF(OR('Project Register'!E459="",'Project Register'!F459=""),"Missing date. ","")&amp;IF(AND('Project Register'!E459&lt;&gt;"",'Project Register'!F459&lt;&gt;"",'Project Register'!F459&lt;'Project Register'!E459),"End before start. ","")&amp;IF(NOT(ISNUMBER('Project Register'!G459)),"Effort missing. ","")&amp;IF(D459=0,"No resource. ","")&amp;IF(AND('Project Register'!H459&lt;&gt;"",'Project Register'!I459=""),"Role 1 missing. ","")&amp;IF(AND('Project Register'!J459&lt;&gt;"",'Project Register'!K459=""),"Role 2 missing. ","")&amp;IF(AND('Project Register'!L459&lt;&gt;"",'Project Register'!M459=""),"Role 3 missing. ","")&amp;IF(OR(AND('Project Register'!H459&lt;&gt;"",'Project Register'!H459='Project Register'!J459),AND('Project Register'!H459&lt;&gt;"",'Project Register'!H459='Project Register'!L459),AND('Project Register'!J459&lt;&gt;"",'Project Register'!J459='Project Register'!L459)),"Same person listed twice. ","")&amp;IF(AND('Project Register'!H459&lt;&gt;"",COUNTIF(Resources!$A$2:$A$51,'Project Register'!H459)=0),"Resource 1 not in Resources sheet. ","")&amp;IF(AND('Project Register'!J459&lt;&gt;"",COUNTIF(Resources!$A$2:$A$51,'Project Register'!J459)=0),"Resource 2 not in Resources sheet. ","")&amp;IF(AND('Project Register'!L459&lt;&gt;"",COUNTIF(Resources!$A$2:$A$51,'Project Register'!L459)=0),"Resource 3 not in Resources sheet. ","")&amp;IF('Project Register'!O459="","Test Status missing. ","")&amp;IF(AND(ISNUMBER(E459),E459&gt;1),"This task alone needs over 100% per person. ","")&amp;IF(AND('Project Register'!Q459="Deployed in Live",'Project Register'!R459=""),"Release Date blank (import date will be used). ","")))</f>
        <v/>
      </c>
      <c r="G459" s="17" t="str">
        <f aca="false">IF('Project Register'!$A459="","",IF(F459="","OK","Check"))</f>
        <v/>
      </c>
    </row>
    <row r="460" customFormat="false" ht="15" hidden="false" customHeight="false" outlineLevel="0" collapsed="false">
      <c r="A460" s="15" t="str">
        <f aca="false">IF('Project Register'!$A460="","",ROW('Project Register'!A460))</f>
        <v/>
      </c>
      <c r="B460" s="15" t="str">
        <f aca="false">IF('Project Register'!$A460="","",'Project Register'!B460)</f>
        <v/>
      </c>
      <c r="C460" s="15" t="str">
        <f aca="false">IF('Project Register'!$A460="","",IF(OR('Project Register'!E460="",'Project Register'!F460=""),"",IF('Project Register'!F460&lt;'Project Register'!E460,0,NETWORKDAYS.INTL('Project Register'!E460,'Project Register'!F460,"0000110",Holidays_Leave!$A$3:$A$62))))</f>
        <v/>
      </c>
      <c r="D460" s="15" t="str">
        <f aca="false">IF('Project Register'!$A460="","",('Project Register'!H460&lt;&gt;"")+('Project Register'!J460&lt;&gt;"")+('Project Register'!L460&lt;&gt;""))</f>
        <v/>
      </c>
      <c r="E460" s="16" t="str">
        <f aca="false">IF(OR(C460="",D460="",'Project Register'!G460=""),"",IF(OR(C460=0,D460=0),"",'Project Register'!G460/(C460*D460)))</f>
        <v/>
      </c>
      <c r="F460" s="15" t="str">
        <f aca="false">IF('Project Register'!$A460="","",TRIM(IF(OR('Project Register'!E460="",'Project Register'!F460=""),"Missing date. ","")&amp;IF(AND('Project Register'!E460&lt;&gt;"",'Project Register'!F460&lt;&gt;"",'Project Register'!F460&lt;'Project Register'!E460),"End before start. ","")&amp;IF(NOT(ISNUMBER('Project Register'!G460)),"Effort missing. ","")&amp;IF(D460=0,"No resource. ","")&amp;IF(AND('Project Register'!H460&lt;&gt;"",'Project Register'!I460=""),"Role 1 missing. ","")&amp;IF(AND('Project Register'!J460&lt;&gt;"",'Project Register'!K460=""),"Role 2 missing. ","")&amp;IF(AND('Project Register'!L460&lt;&gt;"",'Project Register'!M460=""),"Role 3 missing. ","")&amp;IF(OR(AND('Project Register'!H460&lt;&gt;"",'Project Register'!H460='Project Register'!J460),AND('Project Register'!H460&lt;&gt;"",'Project Register'!H460='Project Register'!L460),AND('Project Register'!J460&lt;&gt;"",'Project Register'!J460='Project Register'!L460)),"Same person listed twice. ","")&amp;IF(AND('Project Register'!H460&lt;&gt;"",COUNTIF(Resources!$A$2:$A$51,'Project Register'!H460)=0),"Resource 1 not in Resources sheet. ","")&amp;IF(AND('Project Register'!J460&lt;&gt;"",COUNTIF(Resources!$A$2:$A$51,'Project Register'!J460)=0),"Resource 2 not in Resources sheet. ","")&amp;IF(AND('Project Register'!L460&lt;&gt;"",COUNTIF(Resources!$A$2:$A$51,'Project Register'!L460)=0),"Resource 3 not in Resources sheet. ","")&amp;IF('Project Register'!O460="","Test Status missing. ","")&amp;IF(AND(ISNUMBER(E460),E460&gt;1),"This task alone needs over 100% per person. ","")&amp;IF(AND('Project Register'!Q460="Deployed in Live",'Project Register'!R460=""),"Release Date blank (import date will be used). ","")))</f>
        <v/>
      </c>
      <c r="G460" s="17" t="str">
        <f aca="false">IF('Project Register'!$A460="","",IF(F460="","OK","Check"))</f>
        <v/>
      </c>
    </row>
    <row r="461" customFormat="false" ht="15" hidden="false" customHeight="false" outlineLevel="0" collapsed="false">
      <c r="A461" s="15" t="str">
        <f aca="false">IF('Project Register'!$A461="","",ROW('Project Register'!A461))</f>
        <v/>
      </c>
      <c r="B461" s="15" t="str">
        <f aca="false">IF('Project Register'!$A461="","",'Project Register'!B461)</f>
        <v/>
      </c>
      <c r="C461" s="15" t="str">
        <f aca="false">IF('Project Register'!$A461="","",IF(OR('Project Register'!E461="",'Project Register'!F461=""),"",IF('Project Register'!F461&lt;'Project Register'!E461,0,NETWORKDAYS.INTL('Project Register'!E461,'Project Register'!F461,"0000110",Holidays_Leave!$A$3:$A$62))))</f>
        <v/>
      </c>
      <c r="D461" s="15" t="str">
        <f aca="false">IF('Project Register'!$A461="","",('Project Register'!H461&lt;&gt;"")+('Project Register'!J461&lt;&gt;"")+('Project Register'!L461&lt;&gt;""))</f>
        <v/>
      </c>
      <c r="E461" s="16" t="str">
        <f aca="false">IF(OR(C461="",D461="",'Project Register'!G461=""),"",IF(OR(C461=0,D461=0),"",'Project Register'!G461/(C461*D461)))</f>
        <v/>
      </c>
      <c r="F461" s="15" t="str">
        <f aca="false">IF('Project Register'!$A461="","",TRIM(IF(OR('Project Register'!E461="",'Project Register'!F461=""),"Missing date. ","")&amp;IF(AND('Project Register'!E461&lt;&gt;"",'Project Register'!F461&lt;&gt;"",'Project Register'!F461&lt;'Project Register'!E461),"End before start. ","")&amp;IF(NOT(ISNUMBER('Project Register'!G461)),"Effort missing. ","")&amp;IF(D461=0,"No resource. ","")&amp;IF(AND('Project Register'!H461&lt;&gt;"",'Project Register'!I461=""),"Role 1 missing. ","")&amp;IF(AND('Project Register'!J461&lt;&gt;"",'Project Register'!K461=""),"Role 2 missing. ","")&amp;IF(AND('Project Register'!L461&lt;&gt;"",'Project Register'!M461=""),"Role 3 missing. ","")&amp;IF(OR(AND('Project Register'!H461&lt;&gt;"",'Project Register'!H461='Project Register'!J461),AND('Project Register'!H461&lt;&gt;"",'Project Register'!H461='Project Register'!L461),AND('Project Register'!J461&lt;&gt;"",'Project Register'!J461='Project Register'!L461)),"Same person listed twice. ","")&amp;IF(AND('Project Register'!H461&lt;&gt;"",COUNTIF(Resources!$A$2:$A$51,'Project Register'!H461)=0),"Resource 1 not in Resources sheet. ","")&amp;IF(AND('Project Register'!J461&lt;&gt;"",COUNTIF(Resources!$A$2:$A$51,'Project Register'!J461)=0),"Resource 2 not in Resources sheet. ","")&amp;IF(AND('Project Register'!L461&lt;&gt;"",COUNTIF(Resources!$A$2:$A$51,'Project Register'!L461)=0),"Resource 3 not in Resources sheet. ","")&amp;IF('Project Register'!O461="","Test Status missing. ","")&amp;IF(AND(ISNUMBER(E461),E461&gt;1),"This task alone needs over 100% per person. ","")&amp;IF(AND('Project Register'!Q461="Deployed in Live",'Project Register'!R461=""),"Release Date blank (import date will be used). ","")))</f>
        <v/>
      </c>
      <c r="G461" s="17" t="str">
        <f aca="false">IF('Project Register'!$A461="","",IF(F461="","OK","Check"))</f>
        <v/>
      </c>
    </row>
    <row r="462" customFormat="false" ht="15" hidden="false" customHeight="false" outlineLevel="0" collapsed="false">
      <c r="A462" s="15" t="str">
        <f aca="false">IF('Project Register'!$A462="","",ROW('Project Register'!A462))</f>
        <v/>
      </c>
      <c r="B462" s="15" t="str">
        <f aca="false">IF('Project Register'!$A462="","",'Project Register'!B462)</f>
        <v/>
      </c>
      <c r="C462" s="15" t="str">
        <f aca="false">IF('Project Register'!$A462="","",IF(OR('Project Register'!E462="",'Project Register'!F462=""),"",IF('Project Register'!F462&lt;'Project Register'!E462,0,NETWORKDAYS.INTL('Project Register'!E462,'Project Register'!F462,"0000110",Holidays_Leave!$A$3:$A$62))))</f>
        <v/>
      </c>
      <c r="D462" s="15" t="str">
        <f aca="false">IF('Project Register'!$A462="","",('Project Register'!H462&lt;&gt;"")+('Project Register'!J462&lt;&gt;"")+('Project Register'!L462&lt;&gt;""))</f>
        <v/>
      </c>
      <c r="E462" s="16" t="str">
        <f aca="false">IF(OR(C462="",D462="",'Project Register'!G462=""),"",IF(OR(C462=0,D462=0),"",'Project Register'!G462/(C462*D462)))</f>
        <v/>
      </c>
      <c r="F462" s="15" t="str">
        <f aca="false">IF('Project Register'!$A462="","",TRIM(IF(OR('Project Register'!E462="",'Project Register'!F462=""),"Missing date. ","")&amp;IF(AND('Project Register'!E462&lt;&gt;"",'Project Register'!F462&lt;&gt;"",'Project Register'!F462&lt;'Project Register'!E462),"End before start. ","")&amp;IF(NOT(ISNUMBER('Project Register'!G462)),"Effort missing. ","")&amp;IF(D462=0,"No resource. ","")&amp;IF(AND('Project Register'!H462&lt;&gt;"",'Project Register'!I462=""),"Role 1 missing. ","")&amp;IF(AND('Project Register'!J462&lt;&gt;"",'Project Register'!K462=""),"Role 2 missing. ","")&amp;IF(AND('Project Register'!L462&lt;&gt;"",'Project Register'!M462=""),"Role 3 missing. ","")&amp;IF(OR(AND('Project Register'!H462&lt;&gt;"",'Project Register'!H462='Project Register'!J462),AND('Project Register'!H462&lt;&gt;"",'Project Register'!H462='Project Register'!L462),AND('Project Register'!J462&lt;&gt;"",'Project Register'!J462='Project Register'!L462)),"Same person listed twice. ","")&amp;IF(AND('Project Register'!H462&lt;&gt;"",COUNTIF(Resources!$A$2:$A$51,'Project Register'!H462)=0),"Resource 1 not in Resources sheet. ","")&amp;IF(AND('Project Register'!J462&lt;&gt;"",COUNTIF(Resources!$A$2:$A$51,'Project Register'!J462)=0),"Resource 2 not in Resources sheet. ","")&amp;IF(AND('Project Register'!L462&lt;&gt;"",COUNTIF(Resources!$A$2:$A$51,'Project Register'!L462)=0),"Resource 3 not in Resources sheet. ","")&amp;IF('Project Register'!O462="","Test Status missing. ","")&amp;IF(AND(ISNUMBER(E462),E462&gt;1),"This task alone needs over 100% per person. ","")&amp;IF(AND('Project Register'!Q462="Deployed in Live",'Project Register'!R462=""),"Release Date blank (import date will be used). ","")))</f>
        <v/>
      </c>
      <c r="G462" s="17" t="str">
        <f aca="false">IF('Project Register'!$A462="","",IF(F462="","OK","Check"))</f>
        <v/>
      </c>
    </row>
    <row r="463" customFormat="false" ht="15" hidden="false" customHeight="false" outlineLevel="0" collapsed="false">
      <c r="A463" s="15" t="str">
        <f aca="false">IF('Project Register'!$A463="","",ROW('Project Register'!A463))</f>
        <v/>
      </c>
      <c r="B463" s="15" t="str">
        <f aca="false">IF('Project Register'!$A463="","",'Project Register'!B463)</f>
        <v/>
      </c>
      <c r="C463" s="15" t="str">
        <f aca="false">IF('Project Register'!$A463="","",IF(OR('Project Register'!E463="",'Project Register'!F463=""),"",IF('Project Register'!F463&lt;'Project Register'!E463,0,NETWORKDAYS.INTL('Project Register'!E463,'Project Register'!F463,"0000110",Holidays_Leave!$A$3:$A$62))))</f>
        <v/>
      </c>
      <c r="D463" s="15" t="str">
        <f aca="false">IF('Project Register'!$A463="","",('Project Register'!H463&lt;&gt;"")+('Project Register'!J463&lt;&gt;"")+('Project Register'!L463&lt;&gt;""))</f>
        <v/>
      </c>
      <c r="E463" s="16" t="str">
        <f aca="false">IF(OR(C463="",D463="",'Project Register'!G463=""),"",IF(OR(C463=0,D463=0),"",'Project Register'!G463/(C463*D463)))</f>
        <v/>
      </c>
      <c r="F463" s="15" t="str">
        <f aca="false">IF('Project Register'!$A463="","",TRIM(IF(OR('Project Register'!E463="",'Project Register'!F463=""),"Missing date. ","")&amp;IF(AND('Project Register'!E463&lt;&gt;"",'Project Register'!F463&lt;&gt;"",'Project Register'!F463&lt;'Project Register'!E463),"End before start. ","")&amp;IF(NOT(ISNUMBER('Project Register'!G463)),"Effort missing. ","")&amp;IF(D463=0,"No resource. ","")&amp;IF(AND('Project Register'!H463&lt;&gt;"",'Project Register'!I463=""),"Role 1 missing. ","")&amp;IF(AND('Project Register'!J463&lt;&gt;"",'Project Register'!K463=""),"Role 2 missing. ","")&amp;IF(AND('Project Register'!L463&lt;&gt;"",'Project Register'!M463=""),"Role 3 missing. ","")&amp;IF(OR(AND('Project Register'!H463&lt;&gt;"",'Project Register'!H463='Project Register'!J463),AND('Project Register'!H463&lt;&gt;"",'Project Register'!H463='Project Register'!L463),AND('Project Register'!J463&lt;&gt;"",'Project Register'!J463='Project Register'!L463)),"Same person listed twice. ","")&amp;IF(AND('Project Register'!H463&lt;&gt;"",COUNTIF(Resources!$A$2:$A$51,'Project Register'!H463)=0),"Resource 1 not in Resources sheet. ","")&amp;IF(AND('Project Register'!J463&lt;&gt;"",COUNTIF(Resources!$A$2:$A$51,'Project Register'!J463)=0),"Resource 2 not in Resources sheet. ","")&amp;IF(AND('Project Register'!L463&lt;&gt;"",COUNTIF(Resources!$A$2:$A$51,'Project Register'!L463)=0),"Resource 3 not in Resources sheet. ","")&amp;IF('Project Register'!O463="","Test Status missing. ","")&amp;IF(AND(ISNUMBER(E463),E463&gt;1),"This task alone needs over 100% per person. ","")&amp;IF(AND('Project Register'!Q463="Deployed in Live",'Project Register'!R463=""),"Release Date blank (import date will be used). ","")))</f>
        <v/>
      </c>
      <c r="G463" s="17" t="str">
        <f aca="false">IF('Project Register'!$A463="","",IF(F463="","OK","Check"))</f>
        <v/>
      </c>
    </row>
    <row r="464" customFormat="false" ht="15" hidden="false" customHeight="false" outlineLevel="0" collapsed="false">
      <c r="A464" s="15" t="str">
        <f aca="false">IF('Project Register'!$A464="","",ROW('Project Register'!A464))</f>
        <v/>
      </c>
      <c r="B464" s="15" t="str">
        <f aca="false">IF('Project Register'!$A464="","",'Project Register'!B464)</f>
        <v/>
      </c>
      <c r="C464" s="15" t="str">
        <f aca="false">IF('Project Register'!$A464="","",IF(OR('Project Register'!E464="",'Project Register'!F464=""),"",IF('Project Register'!F464&lt;'Project Register'!E464,0,NETWORKDAYS.INTL('Project Register'!E464,'Project Register'!F464,"0000110",Holidays_Leave!$A$3:$A$62))))</f>
        <v/>
      </c>
      <c r="D464" s="15" t="str">
        <f aca="false">IF('Project Register'!$A464="","",('Project Register'!H464&lt;&gt;"")+('Project Register'!J464&lt;&gt;"")+('Project Register'!L464&lt;&gt;""))</f>
        <v/>
      </c>
      <c r="E464" s="16" t="str">
        <f aca="false">IF(OR(C464="",D464="",'Project Register'!G464=""),"",IF(OR(C464=0,D464=0),"",'Project Register'!G464/(C464*D464)))</f>
        <v/>
      </c>
      <c r="F464" s="15" t="str">
        <f aca="false">IF('Project Register'!$A464="","",TRIM(IF(OR('Project Register'!E464="",'Project Register'!F464=""),"Missing date. ","")&amp;IF(AND('Project Register'!E464&lt;&gt;"",'Project Register'!F464&lt;&gt;"",'Project Register'!F464&lt;'Project Register'!E464),"End before start. ","")&amp;IF(NOT(ISNUMBER('Project Register'!G464)),"Effort missing. ","")&amp;IF(D464=0,"No resource. ","")&amp;IF(AND('Project Register'!H464&lt;&gt;"",'Project Register'!I464=""),"Role 1 missing. ","")&amp;IF(AND('Project Register'!J464&lt;&gt;"",'Project Register'!K464=""),"Role 2 missing. ","")&amp;IF(AND('Project Register'!L464&lt;&gt;"",'Project Register'!M464=""),"Role 3 missing. ","")&amp;IF(OR(AND('Project Register'!H464&lt;&gt;"",'Project Register'!H464='Project Register'!J464),AND('Project Register'!H464&lt;&gt;"",'Project Register'!H464='Project Register'!L464),AND('Project Register'!J464&lt;&gt;"",'Project Register'!J464='Project Register'!L464)),"Same person listed twice. ","")&amp;IF(AND('Project Register'!H464&lt;&gt;"",COUNTIF(Resources!$A$2:$A$51,'Project Register'!H464)=0),"Resource 1 not in Resources sheet. ","")&amp;IF(AND('Project Register'!J464&lt;&gt;"",COUNTIF(Resources!$A$2:$A$51,'Project Register'!J464)=0),"Resource 2 not in Resources sheet. ","")&amp;IF(AND('Project Register'!L464&lt;&gt;"",COUNTIF(Resources!$A$2:$A$51,'Project Register'!L464)=0),"Resource 3 not in Resources sheet. ","")&amp;IF('Project Register'!O464="","Test Status missing. ","")&amp;IF(AND(ISNUMBER(E464),E464&gt;1),"This task alone needs over 100% per person. ","")&amp;IF(AND('Project Register'!Q464="Deployed in Live",'Project Register'!R464=""),"Release Date blank (import date will be used). ","")))</f>
        <v/>
      </c>
      <c r="G464" s="17" t="str">
        <f aca="false">IF('Project Register'!$A464="","",IF(F464="","OK","Check"))</f>
        <v/>
      </c>
    </row>
    <row r="465" customFormat="false" ht="15" hidden="false" customHeight="false" outlineLevel="0" collapsed="false">
      <c r="A465" s="15" t="str">
        <f aca="false">IF('Project Register'!$A465="","",ROW('Project Register'!A465))</f>
        <v/>
      </c>
      <c r="B465" s="15" t="str">
        <f aca="false">IF('Project Register'!$A465="","",'Project Register'!B465)</f>
        <v/>
      </c>
      <c r="C465" s="15" t="str">
        <f aca="false">IF('Project Register'!$A465="","",IF(OR('Project Register'!E465="",'Project Register'!F465=""),"",IF('Project Register'!F465&lt;'Project Register'!E465,0,NETWORKDAYS.INTL('Project Register'!E465,'Project Register'!F465,"0000110",Holidays_Leave!$A$3:$A$62))))</f>
        <v/>
      </c>
      <c r="D465" s="15" t="str">
        <f aca="false">IF('Project Register'!$A465="","",('Project Register'!H465&lt;&gt;"")+('Project Register'!J465&lt;&gt;"")+('Project Register'!L465&lt;&gt;""))</f>
        <v/>
      </c>
      <c r="E465" s="16" t="str">
        <f aca="false">IF(OR(C465="",D465="",'Project Register'!G465=""),"",IF(OR(C465=0,D465=0),"",'Project Register'!G465/(C465*D465)))</f>
        <v/>
      </c>
      <c r="F465" s="15" t="str">
        <f aca="false">IF('Project Register'!$A465="","",TRIM(IF(OR('Project Register'!E465="",'Project Register'!F465=""),"Missing date. ","")&amp;IF(AND('Project Register'!E465&lt;&gt;"",'Project Register'!F465&lt;&gt;"",'Project Register'!F465&lt;'Project Register'!E465),"End before start. ","")&amp;IF(NOT(ISNUMBER('Project Register'!G465)),"Effort missing. ","")&amp;IF(D465=0,"No resource. ","")&amp;IF(AND('Project Register'!H465&lt;&gt;"",'Project Register'!I465=""),"Role 1 missing. ","")&amp;IF(AND('Project Register'!J465&lt;&gt;"",'Project Register'!K465=""),"Role 2 missing. ","")&amp;IF(AND('Project Register'!L465&lt;&gt;"",'Project Register'!M465=""),"Role 3 missing. ","")&amp;IF(OR(AND('Project Register'!H465&lt;&gt;"",'Project Register'!H465='Project Register'!J465),AND('Project Register'!H465&lt;&gt;"",'Project Register'!H465='Project Register'!L465),AND('Project Register'!J465&lt;&gt;"",'Project Register'!J465='Project Register'!L465)),"Same person listed twice. ","")&amp;IF(AND('Project Register'!H465&lt;&gt;"",COUNTIF(Resources!$A$2:$A$51,'Project Register'!H465)=0),"Resource 1 not in Resources sheet. ","")&amp;IF(AND('Project Register'!J465&lt;&gt;"",COUNTIF(Resources!$A$2:$A$51,'Project Register'!J465)=0),"Resource 2 not in Resources sheet. ","")&amp;IF(AND('Project Register'!L465&lt;&gt;"",COUNTIF(Resources!$A$2:$A$51,'Project Register'!L465)=0),"Resource 3 not in Resources sheet. ","")&amp;IF('Project Register'!O465="","Test Status missing. ","")&amp;IF(AND(ISNUMBER(E465),E465&gt;1),"This task alone needs over 100% per person. ","")&amp;IF(AND('Project Register'!Q465="Deployed in Live",'Project Register'!R465=""),"Release Date blank (import date will be used). ","")))</f>
        <v/>
      </c>
      <c r="G465" s="17" t="str">
        <f aca="false">IF('Project Register'!$A465="","",IF(F465="","OK","Check"))</f>
        <v/>
      </c>
    </row>
    <row r="466" customFormat="false" ht="15" hidden="false" customHeight="false" outlineLevel="0" collapsed="false">
      <c r="A466" s="15" t="str">
        <f aca="false">IF('Project Register'!$A466="","",ROW('Project Register'!A466))</f>
        <v/>
      </c>
      <c r="B466" s="15" t="str">
        <f aca="false">IF('Project Register'!$A466="","",'Project Register'!B466)</f>
        <v/>
      </c>
      <c r="C466" s="15" t="str">
        <f aca="false">IF('Project Register'!$A466="","",IF(OR('Project Register'!E466="",'Project Register'!F466=""),"",IF('Project Register'!F466&lt;'Project Register'!E466,0,NETWORKDAYS.INTL('Project Register'!E466,'Project Register'!F466,"0000110",Holidays_Leave!$A$3:$A$62))))</f>
        <v/>
      </c>
      <c r="D466" s="15" t="str">
        <f aca="false">IF('Project Register'!$A466="","",('Project Register'!H466&lt;&gt;"")+('Project Register'!J466&lt;&gt;"")+('Project Register'!L466&lt;&gt;""))</f>
        <v/>
      </c>
      <c r="E466" s="16" t="str">
        <f aca="false">IF(OR(C466="",D466="",'Project Register'!G466=""),"",IF(OR(C466=0,D466=0),"",'Project Register'!G466/(C466*D466)))</f>
        <v/>
      </c>
      <c r="F466" s="15" t="str">
        <f aca="false">IF('Project Register'!$A466="","",TRIM(IF(OR('Project Register'!E466="",'Project Register'!F466=""),"Missing date. ","")&amp;IF(AND('Project Register'!E466&lt;&gt;"",'Project Register'!F466&lt;&gt;"",'Project Register'!F466&lt;'Project Register'!E466),"End before start. ","")&amp;IF(NOT(ISNUMBER('Project Register'!G466)),"Effort missing. ","")&amp;IF(D466=0,"No resource. ","")&amp;IF(AND('Project Register'!H466&lt;&gt;"",'Project Register'!I466=""),"Role 1 missing. ","")&amp;IF(AND('Project Register'!J466&lt;&gt;"",'Project Register'!K466=""),"Role 2 missing. ","")&amp;IF(AND('Project Register'!L466&lt;&gt;"",'Project Register'!M466=""),"Role 3 missing. ","")&amp;IF(OR(AND('Project Register'!H466&lt;&gt;"",'Project Register'!H466='Project Register'!J466),AND('Project Register'!H466&lt;&gt;"",'Project Register'!H466='Project Register'!L466),AND('Project Register'!J466&lt;&gt;"",'Project Register'!J466='Project Register'!L466)),"Same person listed twice. ","")&amp;IF(AND('Project Register'!H466&lt;&gt;"",COUNTIF(Resources!$A$2:$A$51,'Project Register'!H466)=0),"Resource 1 not in Resources sheet. ","")&amp;IF(AND('Project Register'!J466&lt;&gt;"",COUNTIF(Resources!$A$2:$A$51,'Project Register'!J466)=0),"Resource 2 not in Resources sheet. ","")&amp;IF(AND('Project Register'!L466&lt;&gt;"",COUNTIF(Resources!$A$2:$A$51,'Project Register'!L466)=0),"Resource 3 not in Resources sheet. ","")&amp;IF('Project Register'!O466="","Test Status missing. ","")&amp;IF(AND(ISNUMBER(E466),E466&gt;1),"This task alone needs over 100% per person. ","")&amp;IF(AND('Project Register'!Q466="Deployed in Live",'Project Register'!R466=""),"Release Date blank (import date will be used). ","")))</f>
        <v/>
      </c>
      <c r="G466" s="17" t="str">
        <f aca="false">IF('Project Register'!$A466="","",IF(F466="","OK","Check"))</f>
        <v/>
      </c>
    </row>
    <row r="467" customFormat="false" ht="15" hidden="false" customHeight="false" outlineLevel="0" collapsed="false">
      <c r="A467" s="15" t="str">
        <f aca="false">IF('Project Register'!$A467="","",ROW('Project Register'!A467))</f>
        <v/>
      </c>
      <c r="B467" s="15" t="str">
        <f aca="false">IF('Project Register'!$A467="","",'Project Register'!B467)</f>
        <v/>
      </c>
      <c r="C467" s="15" t="str">
        <f aca="false">IF('Project Register'!$A467="","",IF(OR('Project Register'!E467="",'Project Register'!F467=""),"",IF('Project Register'!F467&lt;'Project Register'!E467,0,NETWORKDAYS.INTL('Project Register'!E467,'Project Register'!F467,"0000110",Holidays_Leave!$A$3:$A$62))))</f>
        <v/>
      </c>
      <c r="D467" s="15" t="str">
        <f aca="false">IF('Project Register'!$A467="","",('Project Register'!H467&lt;&gt;"")+('Project Register'!J467&lt;&gt;"")+('Project Register'!L467&lt;&gt;""))</f>
        <v/>
      </c>
      <c r="E467" s="16" t="str">
        <f aca="false">IF(OR(C467="",D467="",'Project Register'!G467=""),"",IF(OR(C467=0,D467=0),"",'Project Register'!G467/(C467*D467)))</f>
        <v/>
      </c>
      <c r="F467" s="15" t="str">
        <f aca="false">IF('Project Register'!$A467="","",TRIM(IF(OR('Project Register'!E467="",'Project Register'!F467=""),"Missing date. ","")&amp;IF(AND('Project Register'!E467&lt;&gt;"",'Project Register'!F467&lt;&gt;"",'Project Register'!F467&lt;'Project Register'!E467),"End before start. ","")&amp;IF(NOT(ISNUMBER('Project Register'!G467)),"Effort missing. ","")&amp;IF(D467=0,"No resource. ","")&amp;IF(AND('Project Register'!H467&lt;&gt;"",'Project Register'!I467=""),"Role 1 missing. ","")&amp;IF(AND('Project Register'!J467&lt;&gt;"",'Project Register'!K467=""),"Role 2 missing. ","")&amp;IF(AND('Project Register'!L467&lt;&gt;"",'Project Register'!M467=""),"Role 3 missing. ","")&amp;IF(OR(AND('Project Register'!H467&lt;&gt;"",'Project Register'!H467='Project Register'!J467),AND('Project Register'!H467&lt;&gt;"",'Project Register'!H467='Project Register'!L467),AND('Project Register'!J467&lt;&gt;"",'Project Register'!J467='Project Register'!L467)),"Same person listed twice. ","")&amp;IF(AND('Project Register'!H467&lt;&gt;"",COUNTIF(Resources!$A$2:$A$51,'Project Register'!H467)=0),"Resource 1 not in Resources sheet. ","")&amp;IF(AND('Project Register'!J467&lt;&gt;"",COUNTIF(Resources!$A$2:$A$51,'Project Register'!J467)=0),"Resource 2 not in Resources sheet. ","")&amp;IF(AND('Project Register'!L467&lt;&gt;"",COUNTIF(Resources!$A$2:$A$51,'Project Register'!L467)=0),"Resource 3 not in Resources sheet. ","")&amp;IF('Project Register'!O467="","Test Status missing. ","")&amp;IF(AND(ISNUMBER(E467),E467&gt;1),"This task alone needs over 100% per person. ","")&amp;IF(AND('Project Register'!Q467="Deployed in Live",'Project Register'!R467=""),"Release Date blank (import date will be used). ","")))</f>
        <v/>
      </c>
      <c r="G467" s="17" t="str">
        <f aca="false">IF('Project Register'!$A467="","",IF(F467="","OK","Check"))</f>
        <v/>
      </c>
    </row>
    <row r="468" customFormat="false" ht="15" hidden="false" customHeight="false" outlineLevel="0" collapsed="false">
      <c r="A468" s="15" t="str">
        <f aca="false">IF('Project Register'!$A468="","",ROW('Project Register'!A468))</f>
        <v/>
      </c>
      <c r="B468" s="15" t="str">
        <f aca="false">IF('Project Register'!$A468="","",'Project Register'!B468)</f>
        <v/>
      </c>
      <c r="C468" s="15" t="str">
        <f aca="false">IF('Project Register'!$A468="","",IF(OR('Project Register'!E468="",'Project Register'!F468=""),"",IF('Project Register'!F468&lt;'Project Register'!E468,0,NETWORKDAYS.INTL('Project Register'!E468,'Project Register'!F468,"0000110",Holidays_Leave!$A$3:$A$62))))</f>
        <v/>
      </c>
      <c r="D468" s="15" t="str">
        <f aca="false">IF('Project Register'!$A468="","",('Project Register'!H468&lt;&gt;"")+('Project Register'!J468&lt;&gt;"")+('Project Register'!L468&lt;&gt;""))</f>
        <v/>
      </c>
      <c r="E468" s="16" t="str">
        <f aca="false">IF(OR(C468="",D468="",'Project Register'!G468=""),"",IF(OR(C468=0,D468=0),"",'Project Register'!G468/(C468*D468)))</f>
        <v/>
      </c>
      <c r="F468" s="15" t="str">
        <f aca="false">IF('Project Register'!$A468="","",TRIM(IF(OR('Project Register'!E468="",'Project Register'!F468=""),"Missing date. ","")&amp;IF(AND('Project Register'!E468&lt;&gt;"",'Project Register'!F468&lt;&gt;"",'Project Register'!F468&lt;'Project Register'!E468),"End before start. ","")&amp;IF(NOT(ISNUMBER('Project Register'!G468)),"Effort missing. ","")&amp;IF(D468=0,"No resource. ","")&amp;IF(AND('Project Register'!H468&lt;&gt;"",'Project Register'!I468=""),"Role 1 missing. ","")&amp;IF(AND('Project Register'!J468&lt;&gt;"",'Project Register'!K468=""),"Role 2 missing. ","")&amp;IF(AND('Project Register'!L468&lt;&gt;"",'Project Register'!M468=""),"Role 3 missing. ","")&amp;IF(OR(AND('Project Register'!H468&lt;&gt;"",'Project Register'!H468='Project Register'!J468),AND('Project Register'!H468&lt;&gt;"",'Project Register'!H468='Project Register'!L468),AND('Project Register'!J468&lt;&gt;"",'Project Register'!J468='Project Register'!L468)),"Same person listed twice. ","")&amp;IF(AND('Project Register'!H468&lt;&gt;"",COUNTIF(Resources!$A$2:$A$51,'Project Register'!H468)=0),"Resource 1 not in Resources sheet. ","")&amp;IF(AND('Project Register'!J468&lt;&gt;"",COUNTIF(Resources!$A$2:$A$51,'Project Register'!J468)=0),"Resource 2 not in Resources sheet. ","")&amp;IF(AND('Project Register'!L468&lt;&gt;"",COUNTIF(Resources!$A$2:$A$51,'Project Register'!L468)=0),"Resource 3 not in Resources sheet. ","")&amp;IF('Project Register'!O468="","Test Status missing. ","")&amp;IF(AND(ISNUMBER(E468),E468&gt;1),"This task alone needs over 100% per person. ","")&amp;IF(AND('Project Register'!Q468="Deployed in Live",'Project Register'!R468=""),"Release Date blank (import date will be used). ","")))</f>
        <v/>
      </c>
      <c r="G468" s="17" t="str">
        <f aca="false">IF('Project Register'!$A468="","",IF(F468="","OK","Check"))</f>
        <v/>
      </c>
    </row>
    <row r="469" customFormat="false" ht="15" hidden="false" customHeight="false" outlineLevel="0" collapsed="false">
      <c r="A469" s="15" t="str">
        <f aca="false">IF('Project Register'!$A469="","",ROW('Project Register'!A469))</f>
        <v/>
      </c>
      <c r="B469" s="15" t="str">
        <f aca="false">IF('Project Register'!$A469="","",'Project Register'!B469)</f>
        <v/>
      </c>
      <c r="C469" s="15" t="str">
        <f aca="false">IF('Project Register'!$A469="","",IF(OR('Project Register'!E469="",'Project Register'!F469=""),"",IF('Project Register'!F469&lt;'Project Register'!E469,0,NETWORKDAYS.INTL('Project Register'!E469,'Project Register'!F469,"0000110",Holidays_Leave!$A$3:$A$62))))</f>
        <v/>
      </c>
      <c r="D469" s="15" t="str">
        <f aca="false">IF('Project Register'!$A469="","",('Project Register'!H469&lt;&gt;"")+('Project Register'!J469&lt;&gt;"")+('Project Register'!L469&lt;&gt;""))</f>
        <v/>
      </c>
      <c r="E469" s="16" t="str">
        <f aca="false">IF(OR(C469="",D469="",'Project Register'!G469=""),"",IF(OR(C469=0,D469=0),"",'Project Register'!G469/(C469*D469)))</f>
        <v/>
      </c>
      <c r="F469" s="15" t="str">
        <f aca="false">IF('Project Register'!$A469="","",TRIM(IF(OR('Project Register'!E469="",'Project Register'!F469=""),"Missing date. ","")&amp;IF(AND('Project Register'!E469&lt;&gt;"",'Project Register'!F469&lt;&gt;"",'Project Register'!F469&lt;'Project Register'!E469),"End before start. ","")&amp;IF(NOT(ISNUMBER('Project Register'!G469)),"Effort missing. ","")&amp;IF(D469=0,"No resource. ","")&amp;IF(AND('Project Register'!H469&lt;&gt;"",'Project Register'!I469=""),"Role 1 missing. ","")&amp;IF(AND('Project Register'!J469&lt;&gt;"",'Project Register'!K469=""),"Role 2 missing. ","")&amp;IF(AND('Project Register'!L469&lt;&gt;"",'Project Register'!M469=""),"Role 3 missing. ","")&amp;IF(OR(AND('Project Register'!H469&lt;&gt;"",'Project Register'!H469='Project Register'!J469),AND('Project Register'!H469&lt;&gt;"",'Project Register'!H469='Project Register'!L469),AND('Project Register'!J469&lt;&gt;"",'Project Register'!J469='Project Register'!L469)),"Same person listed twice. ","")&amp;IF(AND('Project Register'!H469&lt;&gt;"",COUNTIF(Resources!$A$2:$A$51,'Project Register'!H469)=0),"Resource 1 not in Resources sheet. ","")&amp;IF(AND('Project Register'!J469&lt;&gt;"",COUNTIF(Resources!$A$2:$A$51,'Project Register'!J469)=0),"Resource 2 not in Resources sheet. ","")&amp;IF(AND('Project Register'!L469&lt;&gt;"",COUNTIF(Resources!$A$2:$A$51,'Project Register'!L469)=0),"Resource 3 not in Resources sheet. ","")&amp;IF('Project Register'!O469="","Test Status missing. ","")&amp;IF(AND(ISNUMBER(E469),E469&gt;1),"This task alone needs over 100% per person. ","")&amp;IF(AND('Project Register'!Q469="Deployed in Live",'Project Register'!R469=""),"Release Date blank (import date will be used). ","")))</f>
        <v/>
      </c>
      <c r="G469" s="17" t="str">
        <f aca="false">IF('Project Register'!$A469="","",IF(F469="","OK","Check"))</f>
        <v/>
      </c>
    </row>
    <row r="470" customFormat="false" ht="15" hidden="false" customHeight="false" outlineLevel="0" collapsed="false">
      <c r="A470" s="15" t="str">
        <f aca="false">IF('Project Register'!$A470="","",ROW('Project Register'!A470))</f>
        <v/>
      </c>
      <c r="B470" s="15" t="str">
        <f aca="false">IF('Project Register'!$A470="","",'Project Register'!B470)</f>
        <v/>
      </c>
      <c r="C470" s="15" t="str">
        <f aca="false">IF('Project Register'!$A470="","",IF(OR('Project Register'!E470="",'Project Register'!F470=""),"",IF('Project Register'!F470&lt;'Project Register'!E470,0,NETWORKDAYS.INTL('Project Register'!E470,'Project Register'!F470,"0000110",Holidays_Leave!$A$3:$A$62))))</f>
        <v/>
      </c>
      <c r="D470" s="15" t="str">
        <f aca="false">IF('Project Register'!$A470="","",('Project Register'!H470&lt;&gt;"")+('Project Register'!J470&lt;&gt;"")+('Project Register'!L470&lt;&gt;""))</f>
        <v/>
      </c>
      <c r="E470" s="16" t="str">
        <f aca="false">IF(OR(C470="",D470="",'Project Register'!G470=""),"",IF(OR(C470=0,D470=0),"",'Project Register'!G470/(C470*D470)))</f>
        <v/>
      </c>
      <c r="F470" s="15" t="str">
        <f aca="false">IF('Project Register'!$A470="","",TRIM(IF(OR('Project Register'!E470="",'Project Register'!F470=""),"Missing date. ","")&amp;IF(AND('Project Register'!E470&lt;&gt;"",'Project Register'!F470&lt;&gt;"",'Project Register'!F470&lt;'Project Register'!E470),"End before start. ","")&amp;IF(NOT(ISNUMBER('Project Register'!G470)),"Effort missing. ","")&amp;IF(D470=0,"No resource. ","")&amp;IF(AND('Project Register'!H470&lt;&gt;"",'Project Register'!I470=""),"Role 1 missing. ","")&amp;IF(AND('Project Register'!J470&lt;&gt;"",'Project Register'!K470=""),"Role 2 missing. ","")&amp;IF(AND('Project Register'!L470&lt;&gt;"",'Project Register'!M470=""),"Role 3 missing. ","")&amp;IF(OR(AND('Project Register'!H470&lt;&gt;"",'Project Register'!H470='Project Register'!J470),AND('Project Register'!H470&lt;&gt;"",'Project Register'!H470='Project Register'!L470),AND('Project Register'!J470&lt;&gt;"",'Project Register'!J470='Project Register'!L470)),"Same person listed twice. ","")&amp;IF(AND('Project Register'!H470&lt;&gt;"",COUNTIF(Resources!$A$2:$A$51,'Project Register'!H470)=0),"Resource 1 not in Resources sheet. ","")&amp;IF(AND('Project Register'!J470&lt;&gt;"",COUNTIF(Resources!$A$2:$A$51,'Project Register'!J470)=0),"Resource 2 not in Resources sheet. ","")&amp;IF(AND('Project Register'!L470&lt;&gt;"",COUNTIF(Resources!$A$2:$A$51,'Project Register'!L470)=0),"Resource 3 not in Resources sheet. ","")&amp;IF('Project Register'!O470="","Test Status missing. ","")&amp;IF(AND(ISNUMBER(E470),E470&gt;1),"This task alone needs over 100% per person. ","")&amp;IF(AND('Project Register'!Q470="Deployed in Live",'Project Register'!R470=""),"Release Date blank (import date will be used). ","")))</f>
        <v/>
      </c>
      <c r="G470" s="17" t="str">
        <f aca="false">IF('Project Register'!$A470="","",IF(F470="","OK","Check"))</f>
        <v/>
      </c>
    </row>
    <row r="471" customFormat="false" ht="15" hidden="false" customHeight="false" outlineLevel="0" collapsed="false">
      <c r="A471" s="15" t="str">
        <f aca="false">IF('Project Register'!$A471="","",ROW('Project Register'!A471))</f>
        <v/>
      </c>
      <c r="B471" s="15" t="str">
        <f aca="false">IF('Project Register'!$A471="","",'Project Register'!B471)</f>
        <v/>
      </c>
      <c r="C471" s="15" t="str">
        <f aca="false">IF('Project Register'!$A471="","",IF(OR('Project Register'!E471="",'Project Register'!F471=""),"",IF('Project Register'!F471&lt;'Project Register'!E471,0,NETWORKDAYS.INTL('Project Register'!E471,'Project Register'!F471,"0000110",Holidays_Leave!$A$3:$A$62))))</f>
        <v/>
      </c>
      <c r="D471" s="15" t="str">
        <f aca="false">IF('Project Register'!$A471="","",('Project Register'!H471&lt;&gt;"")+('Project Register'!J471&lt;&gt;"")+('Project Register'!L471&lt;&gt;""))</f>
        <v/>
      </c>
      <c r="E471" s="16" t="str">
        <f aca="false">IF(OR(C471="",D471="",'Project Register'!G471=""),"",IF(OR(C471=0,D471=0),"",'Project Register'!G471/(C471*D471)))</f>
        <v/>
      </c>
      <c r="F471" s="15" t="str">
        <f aca="false">IF('Project Register'!$A471="","",TRIM(IF(OR('Project Register'!E471="",'Project Register'!F471=""),"Missing date. ","")&amp;IF(AND('Project Register'!E471&lt;&gt;"",'Project Register'!F471&lt;&gt;"",'Project Register'!F471&lt;'Project Register'!E471),"End before start. ","")&amp;IF(NOT(ISNUMBER('Project Register'!G471)),"Effort missing. ","")&amp;IF(D471=0,"No resource. ","")&amp;IF(AND('Project Register'!H471&lt;&gt;"",'Project Register'!I471=""),"Role 1 missing. ","")&amp;IF(AND('Project Register'!J471&lt;&gt;"",'Project Register'!K471=""),"Role 2 missing. ","")&amp;IF(AND('Project Register'!L471&lt;&gt;"",'Project Register'!M471=""),"Role 3 missing. ","")&amp;IF(OR(AND('Project Register'!H471&lt;&gt;"",'Project Register'!H471='Project Register'!J471),AND('Project Register'!H471&lt;&gt;"",'Project Register'!H471='Project Register'!L471),AND('Project Register'!J471&lt;&gt;"",'Project Register'!J471='Project Register'!L471)),"Same person listed twice. ","")&amp;IF(AND('Project Register'!H471&lt;&gt;"",COUNTIF(Resources!$A$2:$A$51,'Project Register'!H471)=0),"Resource 1 not in Resources sheet. ","")&amp;IF(AND('Project Register'!J471&lt;&gt;"",COUNTIF(Resources!$A$2:$A$51,'Project Register'!J471)=0),"Resource 2 not in Resources sheet. ","")&amp;IF(AND('Project Register'!L471&lt;&gt;"",COUNTIF(Resources!$A$2:$A$51,'Project Register'!L471)=0),"Resource 3 not in Resources sheet. ","")&amp;IF('Project Register'!O471="","Test Status missing. ","")&amp;IF(AND(ISNUMBER(E471),E471&gt;1),"This task alone needs over 100% per person. ","")&amp;IF(AND('Project Register'!Q471="Deployed in Live",'Project Register'!R471=""),"Release Date blank (import date will be used). ","")))</f>
        <v/>
      </c>
      <c r="G471" s="17" t="str">
        <f aca="false">IF('Project Register'!$A471="","",IF(F471="","OK","Check"))</f>
        <v/>
      </c>
    </row>
    <row r="472" customFormat="false" ht="15" hidden="false" customHeight="false" outlineLevel="0" collapsed="false">
      <c r="A472" s="15" t="str">
        <f aca="false">IF('Project Register'!$A472="","",ROW('Project Register'!A472))</f>
        <v/>
      </c>
      <c r="B472" s="15" t="str">
        <f aca="false">IF('Project Register'!$A472="","",'Project Register'!B472)</f>
        <v/>
      </c>
      <c r="C472" s="15" t="str">
        <f aca="false">IF('Project Register'!$A472="","",IF(OR('Project Register'!E472="",'Project Register'!F472=""),"",IF('Project Register'!F472&lt;'Project Register'!E472,0,NETWORKDAYS.INTL('Project Register'!E472,'Project Register'!F472,"0000110",Holidays_Leave!$A$3:$A$62))))</f>
        <v/>
      </c>
      <c r="D472" s="15" t="str">
        <f aca="false">IF('Project Register'!$A472="","",('Project Register'!H472&lt;&gt;"")+('Project Register'!J472&lt;&gt;"")+('Project Register'!L472&lt;&gt;""))</f>
        <v/>
      </c>
      <c r="E472" s="16" t="str">
        <f aca="false">IF(OR(C472="",D472="",'Project Register'!G472=""),"",IF(OR(C472=0,D472=0),"",'Project Register'!G472/(C472*D472)))</f>
        <v/>
      </c>
      <c r="F472" s="15" t="str">
        <f aca="false">IF('Project Register'!$A472="","",TRIM(IF(OR('Project Register'!E472="",'Project Register'!F472=""),"Missing date. ","")&amp;IF(AND('Project Register'!E472&lt;&gt;"",'Project Register'!F472&lt;&gt;"",'Project Register'!F472&lt;'Project Register'!E472),"End before start. ","")&amp;IF(NOT(ISNUMBER('Project Register'!G472)),"Effort missing. ","")&amp;IF(D472=0,"No resource. ","")&amp;IF(AND('Project Register'!H472&lt;&gt;"",'Project Register'!I472=""),"Role 1 missing. ","")&amp;IF(AND('Project Register'!J472&lt;&gt;"",'Project Register'!K472=""),"Role 2 missing. ","")&amp;IF(AND('Project Register'!L472&lt;&gt;"",'Project Register'!M472=""),"Role 3 missing. ","")&amp;IF(OR(AND('Project Register'!H472&lt;&gt;"",'Project Register'!H472='Project Register'!J472),AND('Project Register'!H472&lt;&gt;"",'Project Register'!H472='Project Register'!L472),AND('Project Register'!J472&lt;&gt;"",'Project Register'!J472='Project Register'!L472)),"Same person listed twice. ","")&amp;IF(AND('Project Register'!H472&lt;&gt;"",COUNTIF(Resources!$A$2:$A$51,'Project Register'!H472)=0),"Resource 1 not in Resources sheet. ","")&amp;IF(AND('Project Register'!J472&lt;&gt;"",COUNTIF(Resources!$A$2:$A$51,'Project Register'!J472)=0),"Resource 2 not in Resources sheet. ","")&amp;IF(AND('Project Register'!L472&lt;&gt;"",COUNTIF(Resources!$A$2:$A$51,'Project Register'!L472)=0),"Resource 3 not in Resources sheet. ","")&amp;IF('Project Register'!O472="","Test Status missing. ","")&amp;IF(AND(ISNUMBER(E472),E472&gt;1),"This task alone needs over 100% per person. ","")&amp;IF(AND('Project Register'!Q472="Deployed in Live",'Project Register'!R472=""),"Release Date blank (import date will be used). ","")))</f>
        <v/>
      </c>
      <c r="G472" s="17" t="str">
        <f aca="false">IF('Project Register'!$A472="","",IF(F472="","OK","Check"))</f>
        <v/>
      </c>
    </row>
    <row r="473" customFormat="false" ht="15" hidden="false" customHeight="false" outlineLevel="0" collapsed="false">
      <c r="A473" s="15" t="str">
        <f aca="false">IF('Project Register'!$A473="","",ROW('Project Register'!A473))</f>
        <v/>
      </c>
      <c r="B473" s="15" t="str">
        <f aca="false">IF('Project Register'!$A473="","",'Project Register'!B473)</f>
        <v/>
      </c>
      <c r="C473" s="15" t="str">
        <f aca="false">IF('Project Register'!$A473="","",IF(OR('Project Register'!E473="",'Project Register'!F473=""),"",IF('Project Register'!F473&lt;'Project Register'!E473,0,NETWORKDAYS.INTL('Project Register'!E473,'Project Register'!F473,"0000110",Holidays_Leave!$A$3:$A$62))))</f>
        <v/>
      </c>
      <c r="D473" s="15" t="str">
        <f aca="false">IF('Project Register'!$A473="","",('Project Register'!H473&lt;&gt;"")+('Project Register'!J473&lt;&gt;"")+('Project Register'!L473&lt;&gt;""))</f>
        <v/>
      </c>
      <c r="E473" s="16" t="str">
        <f aca="false">IF(OR(C473="",D473="",'Project Register'!G473=""),"",IF(OR(C473=0,D473=0),"",'Project Register'!G473/(C473*D473)))</f>
        <v/>
      </c>
      <c r="F473" s="15" t="str">
        <f aca="false">IF('Project Register'!$A473="","",TRIM(IF(OR('Project Register'!E473="",'Project Register'!F473=""),"Missing date. ","")&amp;IF(AND('Project Register'!E473&lt;&gt;"",'Project Register'!F473&lt;&gt;"",'Project Register'!F473&lt;'Project Register'!E473),"End before start. ","")&amp;IF(NOT(ISNUMBER('Project Register'!G473)),"Effort missing. ","")&amp;IF(D473=0,"No resource. ","")&amp;IF(AND('Project Register'!H473&lt;&gt;"",'Project Register'!I473=""),"Role 1 missing. ","")&amp;IF(AND('Project Register'!J473&lt;&gt;"",'Project Register'!K473=""),"Role 2 missing. ","")&amp;IF(AND('Project Register'!L473&lt;&gt;"",'Project Register'!M473=""),"Role 3 missing. ","")&amp;IF(OR(AND('Project Register'!H473&lt;&gt;"",'Project Register'!H473='Project Register'!J473),AND('Project Register'!H473&lt;&gt;"",'Project Register'!H473='Project Register'!L473),AND('Project Register'!J473&lt;&gt;"",'Project Register'!J473='Project Register'!L473)),"Same person listed twice. ","")&amp;IF(AND('Project Register'!H473&lt;&gt;"",COUNTIF(Resources!$A$2:$A$51,'Project Register'!H473)=0),"Resource 1 not in Resources sheet. ","")&amp;IF(AND('Project Register'!J473&lt;&gt;"",COUNTIF(Resources!$A$2:$A$51,'Project Register'!J473)=0),"Resource 2 not in Resources sheet. ","")&amp;IF(AND('Project Register'!L473&lt;&gt;"",COUNTIF(Resources!$A$2:$A$51,'Project Register'!L473)=0),"Resource 3 not in Resources sheet. ","")&amp;IF('Project Register'!O473="","Test Status missing. ","")&amp;IF(AND(ISNUMBER(E473),E473&gt;1),"This task alone needs over 100% per person. ","")&amp;IF(AND('Project Register'!Q473="Deployed in Live",'Project Register'!R473=""),"Release Date blank (import date will be used). ","")))</f>
        <v/>
      </c>
      <c r="G473" s="17" t="str">
        <f aca="false">IF('Project Register'!$A473="","",IF(F473="","OK","Check"))</f>
        <v/>
      </c>
    </row>
    <row r="474" customFormat="false" ht="15" hidden="false" customHeight="false" outlineLevel="0" collapsed="false">
      <c r="A474" s="15" t="str">
        <f aca="false">IF('Project Register'!$A474="","",ROW('Project Register'!A474))</f>
        <v/>
      </c>
      <c r="B474" s="15" t="str">
        <f aca="false">IF('Project Register'!$A474="","",'Project Register'!B474)</f>
        <v/>
      </c>
      <c r="C474" s="15" t="str">
        <f aca="false">IF('Project Register'!$A474="","",IF(OR('Project Register'!E474="",'Project Register'!F474=""),"",IF('Project Register'!F474&lt;'Project Register'!E474,0,NETWORKDAYS.INTL('Project Register'!E474,'Project Register'!F474,"0000110",Holidays_Leave!$A$3:$A$62))))</f>
        <v/>
      </c>
      <c r="D474" s="15" t="str">
        <f aca="false">IF('Project Register'!$A474="","",('Project Register'!H474&lt;&gt;"")+('Project Register'!J474&lt;&gt;"")+('Project Register'!L474&lt;&gt;""))</f>
        <v/>
      </c>
      <c r="E474" s="16" t="str">
        <f aca="false">IF(OR(C474="",D474="",'Project Register'!G474=""),"",IF(OR(C474=0,D474=0),"",'Project Register'!G474/(C474*D474)))</f>
        <v/>
      </c>
      <c r="F474" s="15" t="str">
        <f aca="false">IF('Project Register'!$A474="","",TRIM(IF(OR('Project Register'!E474="",'Project Register'!F474=""),"Missing date. ","")&amp;IF(AND('Project Register'!E474&lt;&gt;"",'Project Register'!F474&lt;&gt;"",'Project Register'!F474&lt;'Project Register'!E474),"End before start. ","")&amp;IF(NOT(ISNUMBER('Project Register'!G474)),"Effort missing. ","")&amp;IF(D474=0,"No resource. ","")&amp;IF(AND('Project Register'!H474&lt;&gt;"",'Project Register'!I474=""),"Role 1 missing. ","")&amp;IF(AND('Project Register'!J474&lt;&gt;"",'Project Register'!K474=""),"Role 2 missing. ","")&amp;IF(AND('Project Register'!L474&lt;&gt;"",'Project Register'!M474=""),"Role 3 missing. ","")&amp;IF(OR(AND('Project Register'!H474&lt;&gt;"",'Project Register'!H474='Project Register'!J474),AND('Project Register'!H474&lt;&gt;"",'Project Register'!H474='Project Register'!L474),AND('Project Register'!J474&lt;&gt;"",'Project Register'!J474='Project Register'!L474)),"Same person listed twice. ","")&amp;IF(AND('Project Register'!H474&lt;&gt;"",COUNTIF(Resources!$A$2:$A$51,'Project Register'!H474)=0),"Resource 1 not in Resources sheet. ","")&amp;IF(AND('Project Register'!J474&lt;&gt;"",COUNTIF(Resources!$A$2:$A$51,'Project Register'!J474)=0),"Resource 2 not in Resources sheet. ","")&amp;IF(AND('Project Register'!L474&lt;&gt;"",COUNTIF(Resources!$A$2:$A$51,'Project Register'!L474)=0),"Resource 3 not in Resources sheet. ","")&amp;IF('Project Register'!O474="","Test Status missing. ","")&amp;IF(AND(ISNUMBER(E474),E474&gt;1),"This task alone needs over 100% per person. ","")&amp;IF(AND('Project Register'!Q474="Deployed in Live",'Project Register'!R474=""),"Release Date blank (import date will be used). ","")))</f>
        <v/>
      </c>
      <c r="G474" s="17" t="str">
        <f aca="false">IF('Project Register'!$A474="","",IF(F474="","OK","Check"))</f>
        <v/>
      </c>
    </row>
    <row r="475" customFormat="false" ht="15" hidden="false" customHeight="false" outlineLevel="0" collapsed="false">
      <c r="A475" s="15" t="str">
        <f aca="false">IF('Project Register'!$A475="","",ROW('Project Register'!A475))</f>
        <v/>
      </c>
      <c r="B475" s="15" t="str">
        <f aca="false">IF('Project Register'!$A475="","",'Project Register'!B475)</f>
        <v/>
      </c>
      <c r="C475" s="15" t="str">
        <f aca="false">IF('Project Register'!$A475="","",IF(OR('Project Register'!E475="",'Project Register'!F475=""),"",IF('Project Register'!F475&lt;'Project Register'!E475,0,NETWORKDAYS.INTL('Project Register'!E475,'Project Register'!F475,"0000110",Holidays_Leave!$A$3:$A$62))))</f>
        <v/>
      </c>
      <c r="D475" s="15" t="str">
        <f aca="false">IF('Project Register'!$A475="","",('Project Register'!H475&lt;&gt;"")+('Project Register'!J475&lt;&gt;"")+('Project Register'!L475&lt;&gt;""))</f>
        <v/>
      </c>
      <c r="E475" s="16" t="str">
        <f aca="false">IF(OR(C475="",D475="",'Project Register'!G475=""),"",IF(OR(C475=0,D475=0),"",'Project Register'!G475/(C475*D475)))</f>
        <v/>
      </c>
      <c r="F475" s="15" t="str">
        <f aca="false">IF('Project Register'!$A475="","",TRIM(IF(OR('Project Register'!E475="",'Project Register'!F475=""),"Missing date. ","")&amp;IF(AND('Project Register'!E475&lt;&gt;"",'Project Register'!F475&lt;&gt;"",'Project Register'!F475&lt;'Project Register'!E475),"End before start. ","")&amp;IF(NOT(ISNUMBER('Project Register'!G475)),"Effort missing. ","")&amp;IF(D475=0,"No resource. ","")&amp;IF(AND('Project Register'!H475&lt;&gt;"",'Project Register'!I475=""),"Role 1 missing. ","")&amp;IF(AND('Project Register'!J475&lt;&gt;"",'Project Register'!K475=""),"Role 2 missing. ","")&amp;IF(AND('Project Register'!L475&lt;&gt;"",'Project Register'!M475=""),"Role 3 missing. ","")&amp;IF(OR(AND('Project Register'!H475&lt;&gt;"",'Project Register'!H475='Project Register'!J475),AND('Project Register'!H475&lt;&gt;"",'Project Register'!H475='Project Register'!L475),AND('Project Register'!J475&lt;&gt;"",'Project Register'!J475='Project Register'!L475)),"Same person listed twice. ","")&amp;IF(AND('Project Register'!H475&lt;&gt;"",COUNTIF(Resources!$A$2:$A$51,'Project Register'!H475)=0),"Resource 1 not in Resources sheet. ","")&amp;IF(AND('Project Register'!J475&lt;&gt;"",COUNTIF(Resources!$A$2:$A$51,'Project Register'!J475)=0),"Resource 2 not in Resources sheet. ","")&amp;IF(AND('Project Register'!L475&lt;&gt;"",COUNTIF(Resources!$A$2:$A$51,'Project Register'!L475)=0),"Resource 3 not in Resources sheet. ","")&amp;IF('Project Register'!O475="","Test Status missing. ","")&amp;IF(AND(ISNUMBER(E475),E475&gt;1),"This task alone needs over 100% per person. ","")&amp;IF(AND('Project Register'!Q475="Deployed in Live",'Project Register'!R475=""),"Release Date blank (import date will be used). ","")))</f>
        <v/>
      </c>
      <c r="G475" s="17" t="str">
        <f aca="false">IF('Project Register'!$A475="","",IF(F475="","OK","Check"))</f>
        <v/>
      </c>
    </row>
    <row r="476" customFormat="false" ht="15" hidden="false" customHeight="false" outlineLevel="0" collapsed="false">
      <c r="A476" s="15" t="str">
        <f aca="false">IF('Project Register'!$A476="","",ROW('Project Register'!A476))</f>
        <v/>
      </c>
      <c r="B476" s="15" t="str">
        <f aca="false">IF('Project Register'!$A476="","",'Project Register'!B476)</f>
        <v/>
      </c>
      <c r="C476" s="15" t="str">
        <f aca="false">IF('Project Register'!$A476="","",IF(OR('Project Register'!E476="",'Project Register'!F476=""),"",IF('Project Register'!F476&lt;'Project Register'!E476,0,NETWORKDAYS.INTL('Project Register'!E476,'Project Register'!F476,"0000110",Holidays_Leave!$A$3:$A$62))))</f>
        <v/>
      </c>
      <c r="D476" s="15" t="str">
        <f aca="false">IF('Project Register'!$A476="","",('Project Register'!H476&lt;&gt;"")+('Project Register'!J476&lt;&gt;"")+('Project Register'!L476&lt;&gt;""))</f>
        <v/>
      </c>
      <c r="E476" s="16" t="str">
        <f aca="false">IF(OR(C476="",D476="",'Project Register'!G476=""),"",IF(OR(C476=0,D476=0),"",'Project Register'!G476/(C476*D476)))</f>
        <v/>
      </c>
      <c r="F476" s="15" t="str">
        <f aca="false">IF('Project Register'!$A476="","",TRIM(IF(OR('Project Register'!E476="",'Project Register'!F476=""),"Missing date. ","")&amp;IF(AND('Project Register'!E476&lt;&gt;"",'Project Register'!F476&lt;&gt;"",'Project Register'!F476&lt;'Project Register'!E476),"End before start. ","")&amp;IF(NOT(ISNUMBER('Project Register'!G476)),"Effort missing. ","")&amp;IF(D476=0,"No resource. ","")&amp;IF(AND('Project Register'!H476&lt;&gt;"",'Project Register'!I476=""),"Role 1 missing. ","")&amp;IF(AND('Project Register'!J476&lt;&gt;"",'Project Register'!K476=""),"Role 2 missing. ","")&amp;IF(AND('Project Register'!L476&lt;&gt;"",'Project Register'!M476=""),"Role 3 missing. ","")&amp;IF(OR(AND('Project Register'!H476&lt;&gt;"",'Project Register'!H476='Project Register'!J476),AND('Project Register'!H476&lt;&gt;"",'Project Register'!H476='Project Register'!L476),AND('Project Register'!J476&lt;&gt;"",'Project Register'!J476='Project Register'!L476)),"Same person listed twice. ","")&amp;IF(AND('Project Register'!H476&lt;&gt;"",COUNTIF(Resources!$A$2:$A$51,'Project Register'!H476)=0),"Resource 1 not in Resources sheet. ","")&amp;IF(AND('Project Register'!J476&lt;&gt;"",COUNTIF(Resources!$A$2:$A$51,'Project Register'!J476)=0),"Resource 2 not in Resources sheet. ","")&amp;IF(AND('Project Register'!L476&lt;&gt;"",COUNTIF(Resources!$A$2:$A$51,'Project Register'!L476)=0),"Resource 3 not in Resources sheet. ","")&amp;IF('Project Register'!O476="","Test Status missing. ","")&amp;IF(AND(ISNUMBER(E476),E476&gt;1),"This task alone needs over 100% per person. ","")&amp;IF(AND('Project Register'!Q476="Deployed in Live",'Project Register'!R476=""),"Release Date blank (import date will be used). ","")))</f>
        <v/>
      </c>
      <c r="G476" s="17" t="str">
        <f aca="false">IF('Project Register'!$A476="","",IF(F476="","OK","Check"))</f>
        <v/>
      </c>
    </row>
    <row r="477" customFormat="false" ht="15" hidden="false" customHeight="false" outlineLevel="0" collapsed="false">
      <c r="A477" s="15" t="str">
        <f aca="false">IF('Project Register'!$A477="","",ROW('Project Register'!A477))</f>
        <v/>
      </c>
      <c r="B477" s="15" t="str">
        <f aca="false">IF('Project Register'!$A477="","",'Project Register'!B477)</f>
        <v/>
      </c>
      <c r="C477" s="15" t="str">
        <f aca="false">IF('Project Register'!$A477="","",IF(OR('Project Register'!E477="",'Project Register'!F477=""),"",IF('Project Register'!F477&lt;'Project Register'!E477,0,NETWORKDAYS.INTL('Project Register'!E477,'Project Register'!F477,"0000110",Holidays_Leave!$A$3:$A$62))))</f>
        <v/>
      </c>
      <c r="D477" s="15" t="str">
        <f aca="false">IF('Project Register'!$A477="","",('Project Register'!H477&lt;&gt;"")+('Project Register'!J477&lt;&gt;"")+('Project Register'!L477&lt;&gt;""))</f>
        <v/>
      </c>
      <c r="E477" s="16" t="str">
        <f aca="false">IF(OR(C477="",D477="",'Project Register'!G477=""),"",IF(OR(C477=0,D477=0),"",'Project Register'!G477/(C477*D477)))</f>
        <v/>
      </c>
      <c r="F477" s="15" t="str">
        <f aca="false">IF('Project Register'!$A477="","",TRIM(IF(OR('Project Register'!E477="",'Project Register'!F477=""),"Missing date. ","")&amp;IF(AND('Project Register'!E477&lt;&gt;"",'Project Register'!F477&lt;&gt;"",'Project Register'!F477&lt;'Project Register'!E477),"End before start. ","")&amp;IF(NOT(ISNUMBER('Project Register'!G477)),"Effort missing. ","")&amp;IF(D477=0,"No resource. ","")&amp;IF(AND('Project Register'!H477&lt;&gt;"",'Project Register'!I477=""),"Role 1 missing. ","")&amp;IF(AND('Project Register'!J477&lt;&gt;"",'Project Register'!K477=""),"Role 2 missing. ","")&amp;IF(AND('Project Register'!L477&lt;&gt;"",'Project Register'!M477=""),"Role 3 missing. ","")&amp;IF(OR(AND('Project Register'!H477&lt;&gt;"",'Project Register'!H477='Project Register'!J477),AND('Project Register'!H477&lt;&gt;"",'Project Register'!H477='Project Register'!L477),AND('Project Register'!J477&lt;&gt;"",'Project Register'!J477='Project Register'!L477)),"Same person listed twice. ","")&amp;IF(AND('Project Register'!H477&lt;&gt;"",COUNTIF(Resources!$A$2:$A$51,'Project Register'!H477)=0),"Resource 1 not in Resources sheet. ","")&amp;IF(AND('Project Register'!J477&lt;&gt;"",COUNTIF(Resources!$A$2:$A$51,'Project Register'!J477)=0),"Resource 2 not in Resources sheet. ","")&amp;IF(AND('Project Register'!L477&lt;&gt;"",COUNTIF(Resources!$A$2:$A$51,'Project Register'!L477)=0),"Resource 3 not in Resources sheet. ","")&amp;IF('Project Register'!O477="","Test Status missing. ","")&amp;IF(AND(ISNUMBER(E477),E477&gt;1),"This task alone needs over 100% per person. ","")&amp;IF(AND('Project Register'!Q477="Deployed in Live",'Project Register'!R477=""),"Release Date blank (import date will be used). ","")))</f>
        <v/>
      </c>
      <c r="G477" s="17" t="str">
        <f aca="false">IF('Project Register'!$A477="","",IF(F477="","OK","Check"))</f>
        <v/>
      </c>
    </row>
    <row r="478" customFormat="false" ht="15" hidden="false" customHeight="false" outlineLevel="0" collapsed="false">
      <c r="A478" s="15" t="str">
        <f aca="false">IF('Project Register'!$A478="","",ROW('Project Register'!A478))</f>
        <v/>
      </c>
      <c r="B478" s="15" t="str">
        <f aca="false">IF('Project Register'!$A478="","",'Project Register'!B478)</f>
        <v/>
      </c>
      <c r="C478" s="15" t="str">
        <f aca="false">IF('Project Register'!$A478="","",IF(OR('Project Register'!E478="",'Project Register'!F478=""),"",IF('Project Register'!F478&lt;'Project Register'!E478,0,NETWORKDAYS.INTL('Project Register'!E478,'Project Register'!F478,"0000110",Holidays_Leave!$A$3:$A$62))))</f>
        <v/>
      </c>
      <c r="D478" s="15" t="str">
        <f aca="false">IF('Project Register'!$A478="","",('Project Register'!H478&lt;&gt;"")+('Project Register'!J478&lt;&gt;"")+('Project Register'!L478&lt;&gt;""))</f>
        <v/>
      </c>
      <c r="E478" s="16" t="str">
        <f aca="false">IF(OR(C478="",D478="",'Project Register'!G478=""),"",IF(OR(C478=0,D478=0),"",'Project Register'!G478/(C478*D478)))</f>
        <v/>
      </c>
      <c r="F478" s="15" t="str">
        <f aca="false">IF('Project Register'!$A478="","",TRIM(IF(OR('Project Register'!E478="",'Project Register'!F478=""),"Missing date. ","")&amp;IF(AND('Project Register'!E478&lt;&gt;"",'Project Register'!F478&lt;&gt;"",'Project Register'!F478&lt;'Project Register'!E478),"End before start. ","")&amp;IF(NOT(ISNUMBER('Project Register'!G478)),"Effort missing. ","")&amp;IF(D478=0,"No resource. ","")&amp;IF(AND('Project Register'!H478&lt;&gt;"",'Project Register'!I478=""),"Role 1 missing. ","")&amp;IF(AND('Project Register'!J478&lt;&gt;"",'Project Register'!K478=""),"Role 2 missing. ","")&amp;IF(AND('Project Register'!L478&lt;&gt;"",'Project Register'!M478=""),"Role 3 missing. ","")&amp;IF(OR(AND('Project Register'!H478&lt;&gt;"",'Project Register'!H478='Project Register'!J478),AND('Project Register'!H478&lt;&gt;"",'Project Register'!H478='Project Register'!L478),AND('Project Register'!J478&lt;&gt;"",'Project Register'!J478='Project Register'!L478)),"Same person listed twice. ","")&amp;IF(AND('Project Register'!H478&lt;&gt;"",COUNTIF(Resources!$A$2:$A$51,'Project Register'!H478)=0),"Resource 1 not in Resources sheet. ","")&amp;IF(AND('Project Register'!J478&lt;&gt;"",COUNTIF(Resources!$A$2:$A$51,'Project Register'!J478)=0),"Resource 2 not in Resources sheet. ","")&amp;IF(AND('Project Register'!L478&lt;&gt;"",COUNTIF(Resources!$A$2:$A$51,'Project Register'!L478)=0),"Resource 3 not in Resources sheet. ","")&amp;IF('Project Register'!O478="","Test Status missing. ","")&amp;IF(AND(ISNUMBER(E478),E478&gt;1),"This task alone needs over 100% per person. ","")&amp;IF(AND('Project Register'!Q478="Deployed in Live",'Project Register'!R478=""),"Release Date blank (import date will be used). ","")))</f>
        <v/>
      </c>
      <c r="G478" s="17" t="str">
        <f aca="false">IF('Project Register'!$A478="","",IF(F478="","OK","Check"))</f>
        <v/>
      </c>
    </row>
    <row r="479" customFormat="false" ht="15" hidden="false" customHeight="false" outlineLevel="0" collapsed="false">
      <c r="A479" s="15" t="str">
        <f aca="false">IF('Project Register'!$A479="","",ROW('Project Register'!A479))</f>
        <v/>
      </c>
      <c r="B479" s="15" t="str">
        <f aca="false">IF('Project Register'!$A479="","",'Project Register'!B479)</f>
        <v/>
      </c>
      <c r="C479" s="15" t="str">
        <f aca="false">IF('Project Register'!$A479="","",IF(OR('Project Register'!E479="",'Project Register'!F479=""),"",IF('Project Register'!F479&lt;'Project Register'!E479,0,NETWORKDAYS.INTL('Project Register'!E479,'Project Register'!F479,"0000110",Holidays_Leave!$A$3:$A$62))))</f>
        <v/>
      </c>
      <c r="D479" s="15" t="str">
        <f aca="false">IF('Project Register'!$A479="","",('Project Register'!H479&lt;&gt;"")+('Project Register'!J479&lt;&gt;"")+('Project Register'!L479&lt;&gt;""))</f>
        <v/>
      </c>
      <c r="E479" s="16" t="str">
        <f aca="false">IF(OR(C479="",D479="",'Project Register'!G479=""),"",IF(OR(C479=0,D479=0),"",'Project Register'!G479/(C479*D479)))</f>
        <v/>
      </c>
      <c r="F479" s="15" t="str">
        <f aca="false">IF('Project Register'!$A479="","",TRIM(IF(OR('Project Register'!E479="",'Project Register'!F479=""),"Missing date. ","")&amp;IF(AND('Project Register'!E479&lt;&gt;"",'Project Register'!F479&lt;&gt;"",'Project Register'!F479&lt;'Project Register'!E479),"End before start. ","")&amp;IF(NOT(ISNUMBER('Project Register'!G479)),"Effort missing. ","")&amp;IF(D479=0,"No resource. ","")&amp;IF(AND('Project Register'!H479&lt;&gt;"",'Project Register'!I479=""),"Role 1 missing. ","")&amp;IF(AND('Project Register'!J479&lt;&gt;"",'Project Register'!K479=""),"Role 2 missing. ","")&amp;IF(AND('Project Register'!L479&lt;&gt;"",'Project Register'!M479=""),"Role 3 missing. ","")&amp;IF(OR(AND('Project Register'!H479&lt;&gt;"",'Project Register'!H479='Project Register'!J479),AND('Project Register'!H479&lt;&gt;"",'Project Register'!H479='Project Register'!L479),AND('Project Register'!J479&lt;&gt;"",'Project Register'!J479='Project Register'!L479)),"Same person listed twice. ","")&amp;IF(AND('Project Register'!H479&lt;&gt;"",COUNTIF(Resources!$A$2:$A$51,'Project Register'!H479)=0),"Resource 1 not in Resources sheet. ","")&amp;IF(AND('Project Register'!J479&lt;&gt;"",COUNTIF(Resources!$A$2:$A$51,'Project Register'!J479)=0),"Resource 2 not in Resources sheet. ","")&amp;IF(AND('Project Register'!L479&lt;&gt;"",COUNTIF(Resources!$A$2:$A$51,'Project Register'!L479)=0),"Resource 3 not in Resources sheet. ","")&amp;IF('Project Register'!O479="","Test Status missing. ","")&amp;IF(AND(ISNUMBER(E479),E479&gt;1),"This task alone needs over 100% per person. ","")&amp;IF(AND('Project Register'!Q479="Deployed in Live",'Project Register'!R479=""),"Release Date blank (import date will be used). ","")))</f>
        <v/>
      </c>
      <c r="G479" s="17" t="str">
        <f aca="false">IF('Project Register'!$A479="","",IF(F479="","OK","Check"))</f>
        <v/>
      </c>
    </row>
    <row r="480" customFormat="false" ht="15" hidden="false" customHeight="false" outlineLevel="0" collapsed="false">
      <c r="A480" s="15" t="str">
        <f aca="false">IF('Project Register'!$A480="","",ROW('Project Register'!A480))</f>
        <v/>
      </c>
      <c r="B480" s="15" t="str">
        <f aca="false">IF('Project Register'!$A480="","",'Project Register'!B480)</f>
        <v/>
      </c>
      <c r="C480" s="15" t="str">
        <f aca="false">IF('Project Register'!$A480="","",IF(OR('Project Register'!E480="",'Project Register'!F480=""),"",IF('Project Register'!F480&lt;'Project Register'!E480,0,NETWORKDAYS.INTL('Project Register'!E480,'Project Register'!F480,"0000110",Holidays_Leave!$A$3:$A$62))))</f>
        <v/>
      </c>
      <c r="D480" s="15" t="str">
        <f aca="false">IF('Project Register'!$A480="","",('Project Register'!H480&lt;&gt;"")+('Project Register'!J480&lt;&gt;"")+('Project Register'!L480&lt;&gt;""))</f>
        <v/>
      </c>
      <c r="E480" s="16" t="str">
        <f aca="false">IF(OR(C480="",D480="",'Project Register'!G480=""),"",IF(OR(C480=0,D480=0),"",'Project Register'!G480/(C480*D480)))</f>
        <v/>
      </c>
      <c r="F480" s="15" t="str">
        <f aca="false">IF('Project Register'!$A480="","",TRIM(IF(OR('Project Register'!E480="",'Project Register'!F480=""),"Missing date. ","")&amp;IF(AND('Project Register'!E480&lt;&gt;"",'Project Register'!F480&lt;&gt;"",'Project Register'!F480&lt;'Project Register'!E480),"End before start. ","")&amp;IF(NOT(ISNUMBER('Project Register'!G480)),"Effort missing. ","")&amp;IF(D480=0,"No resource. ","")&amp;IF(AND('Project Register'!H480&lt;&gt;"",'Project Register'!I480=""),"Role 1 missing. ","")&amp;IF(AND('Project Register'!J480&lt;&gt;"",'Project Register'!K480=""),"Role 2 missing. ","")&amp;IF(AND('Project Register'!L480&lt;&gt;"",'Project Register'!M480=""),"Role 3 missing. ","")&amp;IF(OR(AND('Project Register'!H480&lt;&gt;"",'Project Register'!H480='Project Register'!J480),AND('Project Register'!H480&lt;&gt;"",'Project Register'!H480='Project Register'!L480),AND('Project Register'!J480&lt;&gt;"",'Project Register'!J480='Project Register'!L480)),"Same person listed twice. ","")&amp;IF(AND('Project Register'!H480&lt;&gt;"",COUNTIF(Resources!$A$2:$A$51,'Project Register'!H480)=0),"Resource 1 not in Resources sheet. ","")&amp;IF(AND('Project Register'!J480&lt;&gt;"",COUNTIF(Resources!$A$2:$A$51,'Project Register'!J480)=0),"Resource 2 not in Resources sheet. ","")&amp;IF(AND('Project Register'!L480&lt;&gt;"",COUNTIF(Resources!$A$2:$A$51,'Project Register'!L480)=0),"Resource 3 not in Resources sheet. ","")&amp;IF('Project Register'!O480="","Test Status missing. ","")&amp;IF(AND(ISNUMBER(E480),E480&gt;1),"This task alone needs over 100% per person. ","")&amp;IF(AND('Project Register'!Q480="Deployed in Live",'Project Register'!R480=""),"Release Date blank (import date will be used). ","")))</f>
        <v/>
      </c>
      <c r="G480" s="17" t="str">
        <f aca="false">IF('Project Register'!$A480="","",IF(F480="","OK","Check"))</f>
        <v/>
      </c>
    </row>
    <row r="481" customFormat="false" ht="15" hidden="false" customHeight="false" outlineLevel="0" collapsed="false">
      <c r="A481" s="15" t="str">
        <f aca="false">IF('Project Register'!$A481="","",ROW('Project Register'!A481))</f>
        <v/>
      </c>
      <c r="B481" s="15" t="str">
        <f aca="false">IF('Project Register'!$A481="","",'Project Register'!B481)</f>
        <v/>
      </c>
      <c r="C481" s="15" t="str">
        <f aca="false">IF('Project Register'!$A481="","",IF(OR('Project Register'!E481="",'Project Register'!F481=""),"",IF('Project Register'!F481&lt;'Project Register'!E481,0,NETWORKDAYS.INTL('Project Register'!E481,'Project Register'!F481,"0000110",Holidays_Leave!$A$3:$A$62))))</f>
        <v/>
      </c>
      <c r="D481" s="15" t="str">
        <f aca="false">IF('Project Register'!$A481="","",('Project Register'!H481&lt;&gt;"")+('Project Register'!J481&lt;&gt;"")+('Project Register'!L481&lt;&gt;""))</f>
        <v/>
      </c>
      <c r="E481" s="16" t="str">
        <f aca="false">IF(OR(C481="",D481="",'Project Register'!G481=""),"",IF(OR(C481=0,D481=0),"",'Project Register'!G481/(C481*D481)))</f>
        <v/>
      </c>
      <c r="F481" s="15" t="str">
        <f aca="false">IF('Project Register'!$A481="","",TRIM(IF(OR('Project Register'!E481="",'Project Register'!F481=""),"Missing date. ","")&amp;IF(AND('Project Register'!E481&lt;&gt;"",'Project Register'!F481&lt;&gt;"",'Project Register'!F481&lt;'Project Register'!E481),"End before start. ","")&amp;IF(NOT(ISNUMBER('Project Register'!G481)),"Effort missing. ","")&amp;IF(D481=0,"No resource. ","")&amp;IF(AND('Project Register'!H481&lt;&gt;"",'Project Register'!I481=""),"Role 1 missing. ","")&amp;IF(AND('Project Register'!J481&lt;&gt;"",'Project Register'!K481=""),"Role 2 missing. ","")&amp;IF(AND('Project Register'!L481&lt;&gt;"",'Project Register'!M481=""),"Role 3 missing. ","")&amp;IF(OR(AND('Project Register'!H481&lt;&gt;"",'Project Register'!H481='Project Register'!J481),AND('Project Register'!H481&lt;&gt;"",'Project Register'!H481='Project Register'!L481),AND('Project Register'!J481&lt;&gt;"",'Project Register'!J481='Project Register'!L481)),"Same person listed twice. ","")&amp;IF(AND('Project Register'!H481&lt;&gt;"",COUNTIF(Resources!$A$2:$A$51,'Project Register'!H481)=0),"Resource 1 not in Resources sheet. ","")&amp;IF(AND('Project Register'!J481&lt;&gt;"",COUNTIF(Resources!$A$2:$A$51,'Project Register'!J481)=0),"Resource 2 not in Resources sheet. ","")&amp;IF(AND('Project Register'!L481&lt;&gt;"",COUNTIF(Resources!$A$2:$A$51,'Project Register'!L481)=0),"Resource 3 not in Resources sheet. ","")&amp;IF('Project Register'!O481="","Test Status missing. ","")&amp;IF(AND(ISNUMBER(E481),E481&gt;1),"This task alone needs over 100% per person. ","")&amp;IF(AND('Project Register'!Q481="Deployed in Live",'Project Register'!R481=""),"Release Date blank (import date will be used). ","")))</f>
        <v/>
      </c>
      <c r="G481" s="17" t="str">
        <f aca="false">IF('Project Register'!$A481="","",IF(F481="","OK","Check"))</f>
        <v/>
      </c>
    </row>
    <row r="482" customFormat="false" ht="15" hidden="false" customHeight="false" outlineLevel="0" collapsed="false">
      <c r="A482" s="15" t="str">
        <f aca="false">IF('Project Register'!$A482="","",ROW('Project Register'!A482))</f>
        <v/>
      </c>
      <c r="B482" s="15" t="str">
        <f aca="false">IF('Project Register'!$A482="","",'Project Register'!B482)</f>
        <v/>
      </c>
      <c r="C482" s="15" t="str">
        <f aca="false">IF('Project Register'!$A482="","",IF(OR('Project Register'!E482="",'Project Register'!F482=""),"",IF('Project Register'!F482&lt;'Project Register'!E482,0,NETWORKDAYS.INTL('Project Register'!E482,'Project Register'!F482,"0000110",Holidays_Leave!$A$3:$A$62))))</f>
        <v/>
      </c>
      <c r="D482" s="15" t="str">
        <f aca="false">IF('Project Register'!$A482="","",('Project Register'!H482&lt;&gt;"")+('Project Register'!J482&lt;&gt;"")+('Project Register'!L482&lt;&gt;""))</f>
        <v/>
      </c>
      <c r="E482" s="16" t="str">
        <f aca="false">IF(OR(C482="",D482="",'Project Register'!G482=""),"",IF(OR(C482=0,D482=0),"",'Project Register'!G482/(C482*D482)))</f>
        <v/>
      </c>
      <c r="F482" s="15" t="str">
        <f aca="false">IF('Project Register'!$A482="","",TRIM(IF(OR('Project Register'!E482="",'Project Register'!F482=""),"Missing date. ","")&amp;IF(AND('Project Register'!E482&lt;&gt;"",'Project Register'!F482&lt;&gt;"",'Project Register'!F482&lt;'Project Register'!E482),"End before start. ","")&amp;IF(NOT(ISNUMBER('Project Register'!G482)),"Effort missing. ","")&amp;IF(D482=0,"No resource. ","")&amp;IF(AND('Project Register'!H482&lt;&gt;"",'Project Register'!I482=""),"Role 1 missing. ","")&amp;IF(AND('Project Register'!J482&lt;&gt;"",'Project Register'!K482=""),"Role 2 missing. ","")&amp;IF(AND('Project Register'!L482&lt;&gt;"",'Project Register'!M482=""),"Role 3 missing. ","")&amp;IF(OR(AND('Project Register'!H482&lt;&gt;"",'Project Register'!H482='Project Register'!J482),AND('Project Register'!H482&lt;&gt;"",'Project Register'!H482='Project Register'!L482),AND('Project Register'!J482&lt;&gt;"",'Project Register'!J482='Project Register'!L482)),"Same person listed twice. ","")&amp;IF(AND('Project Register'!H482&lt;&gt;"",COUNTIF(Resources!$A$2:$A$51,'Project Register'!H482)=0),"Resource 1 not in Resources sheet. ","")&amp;IF(AND('Project Register'!J482&lt;&gt;"",COUNTIF(Resources!$A$2:$A$51,'Project Register'!J482)=0),"Resource 2 not in Resources sheet. ","")&amp;IF(AND('Project Register'!L482&lt;&gt;"",COUNTIF(Resources!$A$2:$A$51,'Project Register'!L482)=0),"Resource 3 not in Resources sheet. ","")&amp;IF('Project Register'!O482="","Test Status missing. ","")&amp;IF(AND(ISNUMBER(E482),E482&gt;1),"This task alone needs over 100% per person. ","")&amp;IF(AND('Project Register'!Q482="Deployed in Live",'Project Register'!R482=""),"Release Date blank (import date will be used). ","")))</f>
        <v/>
      </c>
      <c r="G482" s="17" t="str">
        <f aca="false">IF('Project Register'!$A482="","",IF(F482="","OK","Check"))</f>
        <v/>
      </c>
    </row>
    <row r="483" customFormat="false" ht="15" hidden="false" customHeight="false" outlineLevel="0" collapsed="false">
      <c r="A483" s="15" t="str">
        <f aca="false">IF('Project Register'!$A483="","",ROW('Project Register'!A483))</f>
        <v/>
      </c>
      <c r="B483" s="15" t="str">
        <f aca="false">IF('Project Register'!$A483="","",'Project Register'!B483)</f>
        <v/>
      </c>
      <c r="C483" s="15" t="str">
        <f aca="false">IF('Project Register'!$A483="","",IF(OR('Project Register'!E483="",'Project Register'!F483=""),"",IF('Project Register'!F483&lt;'Project Register'!E483,0,NETWORKDAYS.INTL('Project Register'!E483,'Project Register'!F483,"0000110",Holidays_Leave!$A$3:$A$62))))</f>
        <v/>
      </c>
      <c r="D483" s="15" t="str">
        <f aca="false">IF('Project Register'!$A483="","",('Project Register'!H483&lt;&gt;"")+('Project Register'!J483&lt;&gt;"")+('Project Register'!L483&lt;&gt;""))</f>
        <v/>
      </c>
      <c r="E483" s="16" t="str">
        <f aca="false">IF(OR(C483="",D483="",'Project Register'!G483=""),"",IF(OR(C483=0,D483=0),"",'Project Register'!G483/(C483*D483)))</f>
        <v/>
      </c>
      <c r="F483" s="15" t="str">
        <f aca="false">IF('Project Register'!$A483="","",TRIM(IF(OR('Project Register'!E483="",'Project Register'!F483=""),"Missing date. ","")&amp;IF(AND('Project Register'!E483&lt;&gt;"",'Project Register'!F483&lt;&gt;"",'Project Register'!F483&lt;'Project Register'!E483),"End before start. ","")&amp;IF(NOT(ISNUMBER('Project Register'!G483)),"Effort missing. ","")&amp;IF(D483=0,"No resource. ","")&amp;IF(AND('Project Register'!H483&lt;&gt;"",'Project Register'!I483=""),"Role 1 missing. ","")&amp;IF(AND('Project Register'!J483&lt;&gt;"",'Project Register'!K483=""),"Role 2 missing. ","")&amp;IF(AND('Project Register'!L483&lt;&gt;"",'Project Register'!M483=""),"Role 3 missing. ","")&amp;IF(OR(AND('Project Register'!H483&lt;&gt;"",'Project Register'!H483='Project Register'!J483),AND('Project Register'!H483&lt;&gt;"",'Project Register'!H483='Project Register'!L483),AND('Project Register'!J483&lt;&gt;"",'Project Register'!J483='Project Register'!L483)),"Same person listed twice. ","")&amp;IF(AND('Project Register'!H483&lt;&gt;"",COUNTIF(Resources!$A$2:$A$51,'Project Register'!H483)=0),"Resource 1 not in Resources sheet. ","")&amp;IF(AND('Project Register'!J483&lt;&gt;"",COUNTIF(Resources!$A$2:$A$51,'Project Register'!J483)=0),"Resource 2 not in Resources sheet. ","")&amp;IF(AND('Project Register'!L483&lt;&gt;"",COUNTIF(Resources!$A$2:$A$51,'Project Register'!L483)=0),"Resource 3 not in Resources sheet. ","")&amp;IF('Project Register'!O483="","Test Status missing. ","")&amp;IF(AND(ISNUMBER(E483),E483&gt;1),"This task alone needs over 100% per person. ","")&amp;IF(AND('Project Register'!Q483="Deployed in Live",'Project Register'!R483=""),"Release Date blank (import date will be used). ","")))</f>
        <v/>
      </c>
      <c r="G483" s="17" t="str">
        <f aca="false">IF('Project Register'!$A483="","",IF(F483="","OK","Check"))</f>
        <v/>
      </c>
    </row>
    <row r="484" customFormat="false" ht="15" hidden="false" customHeight="false" outlineLevel="0" collapsed="false">
      <c r="A484" s="15" t="str">
        <f aca="false">IF('Project Register'!$A484="","",ROW('Project Register'!A484))</f>
        <v/>
      </c>
      <c r="B484" s="15" t="str">
        <f aca="false">IF('Project Register'!$A484="","",'Project Register'!B484)</f>
        <v/>
      </c>
      <c r="C484" s="15" t="str">
        <f aca="false">IF('Project Register'!$A484="","",IF(OR('Project Register'!E484="",'Project Register'!F484=""),"",IF('Project Register'!F484&lt;'Project Register'!E484,0,NETWORKDAYS.INTL('Project Register'!E484,'Project Register'!F484,"0000110",Holidays_Leave!$A$3:$A$62))))</f>
        <v/>
      </c>
      <c r="D484" s="15" t="str">
        <f aca="false">IF('Project Register'!$A484="","",('Project Register'!H484&lt;&gt;"")+('Project Register'!J484&lt;&gt;"")+('Project Register'!L484&lt;&gt;""))</f>
        <v/>
      </c>
      <c r="E484" s="16" t="str">
        <f aca="false">IF(OR(C484="",D484="",'Project Register'!G484=""),"",IF(OR(C484=0,D484=0),"",'Project Register'!G484/(C484*D484)))</f>
        <v/>
      </c>
      <c r="F484" s="15" t="str">
        <f aca="false">IF('Project Register'!$A484="","",TRIM(IF(OR('Project Register'!E484="",'Project Register'!F484=""),"Missing date. ","")&amp;IF(AND('Project Register'!E484&lt;&gt;"",'Project Register'!F484&lt;&gt;"",'Project Register'!F484&lt;'Project Register'!E484),"End before start. ","")&amp;IF(NOT(ISNUMBER('Project Register'!G484)),"Effort missing. ","")&amp;IF(D484=0,"No resource. ","")&amp;IF(AND('Project Register'!H484&lt;&gt;"",'Project Register'!I484=""),"Role 1 missing. ","")&amp;IF(AND('Project Register'!J484&lt;&gt;"",'Project Register'!K484=""),"Role 2 missing. ","")&amp;IF(AND('Project Register'!L484&lt;&gt;"",'Project Register'!M484=""),"Role 3 missing. ","")&amp;IF(OR(AND('Project Register'!H484&lt;&gt;"",'Project Register'!H484='Project Register'!J484),AND('Project Register'!H484&lt;&gt;"",'Project Register'!H484='Project Register'!L484),AND('Project Register'!J484&lt;&gt;"",'Project Register'!J484='Project Register'!L484)),"Same person listed twice. ","")&amp;IF(AND('Project Register'!H484&lt;&gt;"",COUNTIF(Resources!$A$2:$A$51,'Project Register'!H484)=0),"Resource 1 not in Resources sheet. ","")&amp;IF(AND('Project Register'!J484&lt;&gt;"",COUNTIF(Resources!$A$2:$A$51,'Project Register'!J484)=0),"Resource 2 not in Resources sheet. ","")&amp;IF(AND('Project Register'!L484&lt;&gt;"",COUNTIF(Resources!$A$2:$A$51,'Project Register'!L484)=0),"Resource 3 not in Resources sheet. ","")&amp;IF('Project Register'!O484="","Test Status missing. ","")&amp;IF(AND(ISNUMBER(E484),E484&gt;1),"This task alone needs over 100% per person. ","")&amp;IF(AND('Project Register'!Q484="Deployed in Live",'Project Register'!R484=""),"Release Date blank (import date will be used). ","")))</f>
        <v/>
      </c>
      <c r="G484" s="17" t="str">
        <f aca="false">IF('Project Register'!$A484="","",IF(F484="","OK","Check"))</f>
        <v/>
      </c>
    </row>
    <row r="485" customFormat="false" ht="15" hidden="false" customHeight="false" outlineLevel="0" collapsed="false">
      <c r="A485" s="15" t="str">
        <f aca="false">IF('Project Register'!$A485="","",ROW('Project Register'!A485))</f>
        <v/>
      </c>
      <c r="B485" s="15" t="str">
        <f aca="false">IF('Project Register'!$A485="","",'Project Register'!B485)</f>
        <v/>
      </c>
      <c r="C485" s="15" t="str">
        <f aca="false">IF('Project Register'!$A485="","",IF(OR('Project Register'!E485="",'Project Register'!F485=""),"",IF('Project Register'!F485&lt;'Project Register'!E485,0,NETWORKDAYS.INTL('Project Register'!E485,'Project Register'!F485,"0000110",Holidays_Leave!$A$3:$A$62))))</f>
        <v/>
      </c>
      <c r="D485" s="15" t="str">
        <f aca="false">IF('Project Register'!$A485="","",('Project Register'!H485&lt;&gt;"")+('Project Register'!J485&lt;&gt;"")+('Project Register'!L485&lt;&gt;""))</f>
        <v/>
      </c>
      <c r="E485" s="16" t="str">
        <f aca="false">IF(OR(C485="",D485="",'Project Register'!G485=""),"",IF(OR(C485=0,D485=0),"",'Project Register'!G485/(C485*D485)))</f>
        <v/>
      </c>
      <c r="F485" s="15" t="str">
        <f aca="false">IF('Project Register'!$A485="","",TRIM(IF(OR('Project Register'!E485="",'Project Register'!F485=""),"Missing date. ","")&amp;IF(AND('Project Register'!E485&lt;&gt;"",'Project Register'!F485&lt;&gt;"",'Project Register'!F485&lt;'Project Register'!E485),"End before start. ","")&amp;IF(NOT(ISNUMBER('Project Register'!G485)),"Effort missing. ","")&amp;IF(D485=0,"No resource. ","")&amp;IF(AND('Project Register'!H485&lt;&gt;"",'Project Register'!I485=""),"Role 1 missing. ","")&amp;IF(AND('Project Register'!J485&lt;&gt;"",'Project Register'!K485=""),"Role 2 missing. ","")&amp;IF(AND('Project Register'!L485&lt;&gt;"",'Project Register'!M485=""),"Role 3 missing. ","")&amp;IF(OR(AND('Project Register'!H485&lt;&gt;"",'Project Register'!H485='Project Register'!J485),AND('Project Register'!H485&lt;&gt;"",'Project Register'!H485='Project Register'!L485),AND('Project Register'!J485&lt;&gt;"",'Project Register'!J485='Project Register'!L485)),"Same person listed twice. ","")&amp;IF(AND('Project Register'!H485&lt;&gt;"",COUNTIF(Resources!$A$2:$A$51,'Project Register'!H485)=0),"Resource 1 not in Resources sheet. ","")&amp;IF(AND('Project Register'!J485&lt;&gt;"",COUNTIF(Resources!$A$2:$A$51,'Project Register'!J485)=0),"Resource 2 not in Resources sheet. ","")&amp;IF(AND('Project Register'!L485&lt;&gt;"",COUNTIF(Resources!$A$2:$A$51,'Project Register'!L485)=0),"Resource 3 not in Resources sheet. ","")&amp;IF('Project Register'!O485="","Test Status missing. ","")&amp;IF(AND(ISNUMBER(E485),E485&gt;1),"This task alone needs over 100% per person. ","")&amp;IF(AND('Project Register'!Q485="Deployed in Live",'Project Register'!R485=""),"Release Date blank (import date will be used). ","")))</f>
        <v/>
      </c>
      <c r="G485" s="17" t="str">
        <f aca="false">IF('Project Register'!$A485="","",IF(F485="","OK","Check"))</f>
        <v/>
      </c>
    </row>
    <row r="486" customFormat="false" ht="15" hidden="false" customHeight="false" outlineLevel="0" collapsed="false">
      <c r="A486" s="15" t="str">
        <f aca="false">IF('Project Register'!$A486="","",ROW('Project Register'!A486))</f>
        <v/>
      </c>
      <c r="B486" s="15" t="str">
        <f aca="false">IF('Project Register'!$A486="","",'Project Register'!B486)</f>
        <v/>
      </c>
      <c r="C486" s="15" t="str">
        <f aca="false">IF('Project Register'!$A486="","",IF(OR('Project Register'!E486="",'Project Register'!F486=""),"",IF('Project Register'!F486&lt;'Project Register'!E486,0,NETWORKDAYS.INTL('Project Register'!E486,'Project Register'!F486,"0000110",Holidays_Leave!$A$3:$A$62))))</f>
        <v/>
      </c>
      <c r="D486" s="15" t="str">
        <f aca="false">IF('Project Register'!$A486="","",('Project Register'!H486&lt;&gt;"")+('Project Register'!J486&lt;&gt;"")+('Project Register'!L486&lt;&gt;""))</f>
        <v/>
      </c>
      <c r="E486" s="16" t="str">
        <f aca="false">IF(OR(C486="",D486="",'Project Register'!G486=""),"",IF(OR(C486=0,D486=0),"",'Project Register'!G486/(C486*D486)))</f>
        <v/>
      </c>
      <c r="F486" s="15" t="str">
        <f aca="false">IF('Project Register'!$A486="","",TRIM(IF(OR('Project Register'!E486="",'Project Register'!F486=""),"Missing date. ","")&amp;IF(AND('Project Register'!E486&lt;&gt;"",'Project Register'!F486&lt;&gt;"",'Project Register'!F486&lt;'Project Register'!E486),"End before start. ","")&amp;IF(NOT(ISNUMBER('Project Register'!G486)),"Effort missing. ","")&amp;IF(D486=0,"No resource. ","")&amp;IF(AND('Project Register'!H486&lt;&gt;"",'Project Register'!I486=""),"Role 1 missing. ","")&amp;IF(AND('Project Register'!J486&lt;&gt;"",'Project Register'!K486=""),"Role 2 missing. ","")&amp;IF(AND('Project Register'!L486&lt;&gt;"",'Project Register'!M486=""),"Role 3 missing. ","")&amp;IF(OR(AND('Project Register'!H486&lt;&gt;"",'Project Register'!H486='Project Register'!J486),AND('Project Register'!H486&lt;&gt;"",'Project Register'!H486='Project Register'!L486),AND('Project Register'!J486&lt;&gt;"",'Project Register'!J486='Project Register'!L486)),"Same person listed twice. ","")&amp;IF(AND('Project Register'!H486&lt;&gt;"",COUNTIF(Resources!$A$2:$A$51,'Project Register'!H486)=0),"Resource 1 not in Resources sheet. ","")&amp;IF(AND('Project Register'!J486&lt;&gt;"",COUNTIF(Resources!$A$2:$A$51,'Project Register'!J486)=0),"Resource 2 not in Resources sheet. ","")&amp;IF(AND('Project Register'!L486&lt;&gt;"",COUNTIF(Resources!$A$2:$A$51,'Project Register'!L486)=0),"Resource 3 not in Resources sheet. ","")&amp;IF('Project Register'!O486="","Test Status missing. ","")&amp;IF(AND(ISNUMBER(E486),E486&gt;1),"This task alone needs over 100% per person. ","")&amp;IF(AND('Project Register'!Q486="Deployed in Live",'Project Register'!R486=""),"Release Date blank (import date will be used). ","")))</f>
        <v/>
      </c>
      <c r="G486" s="17" t="str">
        <f aca="false">IF('Project Register'!$A486="","",IF(F486="","OK","Check"))</f>
        <v/>
      </c>
    </row>
    <row r="487" customFormat="false" ht="15" hidden="false" customHeight="false" outlineLevel="0" collapsed="false">
      <c r="A487" s="15" t="str">
        <f aca="false">IF('Project Register'!$A487="","",ROW('Project Register'!A487))</f>
        <v/>
      </c>
      <c r="B487" s="15" t="str">
        <f aca="false">IF('Project Register'!$A487="","",'Project Register'!B487)</f>
        <v/>
      </c>
      <c r="C487" s="15" t="str">
        <f aca="false">IF('Project Register'!$A487="","",IF(OR('Project Register'!E487="",'Project Register'!F487=""),"",IF('Project Register'!F487&lt;'Project Register'!E487,0,NETWORKDAYS.INTL('Project Register'!E487,'Project Register'!F487,"0000110",Holidays_Leave!$A$3:$A$62))))</f>
        <v/>
      </c>
      <c r="D487" s="15" t="str">
        <f aca="false">IF('Project Register'!$A487="","",('Project Register'!H487&lt;&gt;"")+('Project Register'!J487&lt;&gt;"")+('Project Register'!L487&lt;&gt;""))</f>
        <v/>
      </c>
      <c r="E487" s="16" t="str">
        <f aca="false">IF(OR(C487="",D487="",'Project Register'!G487=""),"",IF(OR(C487=0,D487=0),"",'Project Register'!G487/(C487*D487)))</f>
        <v/>
      </c>
      <c r="F487" s="15" t="str">
        <f aca="false">IF('Project Register'!$A487="","",TRIM(IF(OR('Project Register'!E487="",'Project Register'!F487=""),"Missing date. ","")&amp;IF(AND('Project Register'!E487&lt;&gt;"",'Project Register'!F487&lt;&gt;"",'Project Register'!F487&lt;'Project Register'!E487),"End before start. ","")&amp;IF(NOT(ISNUMBER('Project Register'!G487)),"Effort missing. ","")&amp;IF(D487=0,"No resource. ","")&amp;IF(AND('Project Register'!H487&lt;&gt;"",'Project Register'!I487=""),"Role 1 missing. ","")&amp;IF(AND('Project Register'!J487&lt;&gt;"",'Project Register'!K487=""),"Role 2 missing. ","")&amp;IF(AND('Project Register'!L487&lt;&gt;"",'Project Register'!M487=""),"Role 3 missing. ","")&amp;IF(OR(AND('Project Register'!H487&lt;&gt;"",'Project Register'!H487='Project Register'!J487),AND('Project Register'!H487&lt;&gt;"",'Project Register'!H487='Project Register'!L487),AND('Project Register'!J487&lt;&gt;"",'Project Register'!J487='Project Register'!L487)),"Same person listed twice. ","")&amp;IF(AND('Project Register'!H487&lt;&gt;"",COUNTIF(Resources!$A$2:$A$51,'Project Register'!H487)=0),"Resource 1 not in Resources sheet. ","")&amp;IF(AND('Project Register'!J487&lt;&gt;"",COUNTIF(Resources!$A$2:$A$51,'Project Register'!J487)=0),"Resource 2 not in Resources sheet. ","")&amp;IF(AND('Project Register'!L487&lt;&gt;"",COUNTIF(Resources!$A$2:$A$51,'Project Register'!L487)=0),"Resource 3 not in Resources sheet. ","")&amp;IF('Project Register'!O487="","Test Status missing. ","")&amp;IF(AND(ISNUMBER(E487),E487&gt;1),"This task alone needs over 100% per person. ","")&amp;IF(AND('Project Register'!Q487="Deployed in Live",'Project Register'!R487=""),"Release Date blank (import date will be used). ","")))</f>
        <v/>
      </c>
      <c r="G487" s="17" t="str">
        <f aca="false">IF('Project Register'!$A487="","",IF(F487="","OK","Check"))</f>
        <v/>
      </c>
    </row>
    <row r="488" customFormat="false" ht="15" hidden="false" customHeight="false" outlineLevel="0" collapsed="false">
      <c r="A488" s="15" t="str">
        <f aca="false">IF('Project Register'!$A488="","",ROW('Project Register'!A488))</f>
        <v/>
      </c>
      <c r="B488" s="15" t="str">
        <f aca="false">IF('Project Register'!$A488="","",'Project Register'!B488)</f>
        <v/>
      </c>
      <c r="C488" s="15" t="str">
        <f aca="false">IF('Project Register'!$A488="","",IF(OR('Project Register'!E488="",'Project Register'!F488=""),"",IF('Project Register'!F488&lt;'Project Register'!E488,0,NETWORKDAYS.INTL('Project Register'!E488,'Project Register'!F488,"0000110",Holidays_Leave!$A$3:$A$62))))</f>
        <v/>
      </c>
      <c r="D488" s="15" t="str">
        <f aca="false">IF('Project Register'!$A488="","",('Project Register'!H488&lt;&gt;"")+('Project Register'!J488&lt;&gt;"")+('Project Register'!L488&lt;&gt;""))</f>
        <v/>
      </c>
      <c r="E488" s="16" t="str">
        <f aca="false">IF(OR(C488="",D488="",'Project Register'!G488=""),"",IF(OR(C488=0,D488=0),"",'Project Register'!G488/(C488*D488)))</f>
        <v/>
      </c>
      <c r="F488" s="15" t="str">
        <f aca="false">IF('Project Register'!$A488="","",TRIM(IF(OR('Project Register'!E488="",'Project Register'!F488=""),"Missing date. ","")&amp;IF(AND('Project Register'!E488&lt;&gt;"",'Project Register'!F488&lt;&gt;"",'Project Register'!F488&lt;'Project Register'!E488),"End before start. ","")&amp;IF(NOT(ISNUMBER('Project Register'!G488)),"Effort missing. ","")&amp;IF(D488=0,"No resource. ","")&amp;IF(AND('Project Register'!H488&lt;&gt;"",'Project Register'!I488=""),"Role 1 missing. ","")&amp;IF(AND('Project Register'!J488&lt;&gt;"",'Project Register'!K488=""),"Role 2 missing. ","")&amp;IF(AND('Project Register'!L488&lt;&gt;"",'Project Register'!M488=""),"Role 3 missing. ","")&amp;IF(OR(AND('Project Register'!H488&lt;&gt;"",'Project Register'!H488='Project Register'!J488),AND('Project Register'!H488&lt;&gt;"",'Project Register'!H488='Project Register'!L488),AND('Project Register'!J488&lt;&gt;"",'Project Register'!J488='Project Register'!L488)),"Same person listed twice. ","")&amp;IF(AND('Project Register'!H488&lt;&gt;"",COUNTIF(Resources!$A$2:$A$51,'Project Register'!H488)=0),"Resource 1 not in Resources sheet. ","")&amp;IF(AND('Project Register'!J488&lt;&gt;"",COUNTIF(Resources!$A$2:$A$51,'Project Register'!J488)=0),"Resource 2 not in Resources sheet. ","")&amp;IF(AND('Project Register'!L488&lt;&gt;"",COUNTIF(Resources!$A$2:$A$51,'Project Register'!L488)=0),"Resource 3 not in Resources sheet. ","")&amp;IF('Project Register'!O488="","Test Status missing. ","")&amp;IF(AND(ISNUMBER(E488),E488&gt;1),"This task alone needs over 100% per person. ","")&amp;IF(AND('Project Register'!Q488="Deployed in Live",'Project Register'!R488=""),"Release Date blank (import date will be used). ","")))</f>
        <v/>
      </c>
      <c r="G488" s="17" t="str">
        <f aca="false">IF('Project Register'!$A488="","",IF(F488="","OK","Check"))</f>
        <v/>
      </c>
    </row>
    <row r="489" customFormat="false" ht="15" hidden="false" customHeight="false" outlineLevel="0" collapsed="false">
      <c r="A489" s="15" t="str">
        <f aca="false">IF('Project Register'!$A489="","",ROW('Project Register'!A489))</f>
        <v/>
      </c>
      <c r="B489" s="15" t="str">
        <f aca="false">IF('Project Register'!$A489="","",'Project Register'!B489)</f>
        <v/>
      </c>
      <c r="C489" s="15" t="str">
        <f aca="false">IF('Project Register'!$A489="","",IF(OR('Project Register'!E489="",'Project Register'!F489=""),"",IF('Project Register'!F489&lt;'Project Register'!E489,0,NETWORKDAYS.INTL('Project Register'!E489,'Project Register'!F489,"0000110",Holidays_Leave!$A$3:$A$62))))</f>
        <v/>
      </c>
      <c r="D489" s="15" t="str">
        <f aca="false">IF('Project Register'!$A489="","",('Project Register'!H489&lt;&gt;"")+('Project Register'!J489&lt;&gt;"")+('Project Register'!L489&lt;&gt;""))</f>
        <v/>
      </c>
      <c r="E489" s="16" t="str">
        <f aca="false">IF(OR(C489="",D489="",'Project Register'!G489=""),"",IF(OR(C489=0,D489=0),"",'Project Register'!G489/(C489*D489)))</f>
        <v/>
      </c>
      <c r="F489" s="15" t="str">
        <f aca="false">IF('Project Register'!$A489="","",TRIM(IF(OR('Project Register'!E489="",'Project Register'!F489=""),"Missing date. ","")&amp;IF(AND('Project Register'!E489&lt;&gt;"",'Project Register'!F489&lt;&gt;"",'Project Register'!F489&lt;'Project Register'!E489),"End before start. ","")&amp;IF(NOT(ISNUMBER('Project Register'!G489)),"Effort missing. ","")&amp;IF(D489=0,"No resource. ","")&amp;IF(AND('Project Register'!H489&lt;&gt;"",'Project Register'!I489=""),"Role 1 missing. ","")&amp;IF(AND('Project Register'!J489&lt;&gt;"",'Project Register'!K489=""),"Role 2 missing. ","")&amp;IF(AND('Project Register'!L489&lt;&gt;"",'Project Register'!M489=""),"Role 3 missing. ","")&amp;IF(OR(AND('Project Register'!H489&lt;&gt;"",'Project Register'!H489='Project Register'!J489),AND('Project Register'!H489&lt;&gt;"",'Project Register'!H489='Project Register'!L489),AND('Project Register'!J489&lt;&gt;"",'Project Register'!J489='Project Register'!L489)),"Same person listed twice. ","")&amp;IF(AND('Project Register'!H489&lt;&gt;"",COUNTIF(Resources!$A$2:$A$51,'Project Register'!H489)=0),"Resource 1 not in Resources sheet. ","")&amp;IF(AND('Project Register'!J489&lt;&gt;"",COUNTIF(Resources!$A$2:$A$51,'Project Register'!J489)=0),"Resource 2 not in Resources sheet. ","")&amp;IF(AND('Project Register'!L489&lt;&gt;"",COUNTIF(Resources!$A$2:$A$51,'Project Register'!L489)=0),"Resource 3 not in Resources sheet. ","")&amp;IF('Project Register'!O489="","Test Status missing. ","")&amp;IF(AND(ISNUMBER(E489),E489&gt;1),"This task alone needs over 100% per person. ","")&amp;IF(AND('Project Register'!Q489="Deployed in Live",'Project Register'!R489=""),"Release Date blank (import date will be used). ","")))</f>
        <v/>
      </c>
      <c r="G489" s="17" t="str">
        <f aca="false">IF('Project Register'!$A489="","",IF(F489="","OK","Check"))</f>
        <v/>
      </c>
    </row>
    <row r="490" customFormat="false" ht="15" hidden="false" customHeight="false" outlineLevel="0" collapsed="false">
      <c r="A490" s="15" t="str">
        <f aca="false">IF('Project Register'!$A490="","",ROW('Project Register'!A490))</f>
        <v/>
      </c>
      <c r="B490" s="15" t="str">
        <f aca="false">IF('Project Register'!$A490="","",'Project Register'!B490)</f>
        <v/>
      </c>
      <c r="C490" s="15" t="str">
        <f aca="false">IF('Project Register'!$A490="","",IF(OR('Project Register'!E490="",'Project Register'!F490=""),"",IF('Project Register'!F490&lt;'Project Register'!E490,0,NETWORKDAYS.INTL('Project Register'!E490,'Project Register'!F490,"0000110",Holidays_Leave!$A$3:$A$62))))</f>
        <v/>
      </c>
      <c r="D490" s="15" t="str">
        <f aca="false">IF('Project Register'!$A490="","",('Project Register'!H490&lt;&gt;"")+('Project Register'!J490&lt;&gt;"")+('Project Register'!L490&lt;&gt;""))</f>
        <v/>
      </c>
      <c r="E490" s="16" t="str">
        <f aca="false">IF(OR(C490="",D490="",'Project Register'!G490=""),"",IF(OR(C490=0,D490=0),"",'Project Register'!G490/(C490*D490)))</f>
        <v/>
      </c>
      <c r="F490" s="15" t="str">
        <f aca="false">IF('Project Register'!$A490="","",TRIM(IF(OR('Project Register'!E490="",'Project Register'!F490=""),"Missing date. ","")&amp;IF(AND('Project Register'!E490&lt;&gt;"",'Project Register'!F490&lt;&gt;"",'Project Register'!F490&lt;'Project Register'!E490),"End before start. ","")&amp;IF(NOT(ISNUMBER('Project Register'!G490)),"Effort missing. ","")&amp;IF(D490=0,"No resource. ","")&amp;IF(AND('Project Register'!H490&lt;&gt;"",'Project Register'!I490=""),"Role 1 missing. ","")&amp;IF(AND('Project Register'!J490&lt;&gt;"",'Project Register'!K490=""),"Role 2 missing. ","")&amp;IF(AND('Project Register'!L490&lt;&gt;"",'Project Register'!M490=""),"Role 3 missing. ","")&amp;IF(OR(AND('Project Register'!H490&lt;&gt;"",'Project Register'!H490='Project Register'!J490),AND('Project Register'!H490&lt;&gt;"",'Project Register'!H490='Project Register'!L490),AND('Project Register'!J490&lt;&gt;"",'Project Register'!J490='Project Register'!L490)),"Same person listed twice. ","")&amp;IF(AND('Project Register'!H490&lt;&gt;"",COUNTIF(Resources!$A$2:$A$51,'Project Register'!H490)=0),"Resource 1 not in Resources sheet. ","")&amp;IF(AND('Project Register'!J490&lt;&gt;"",COUNTIF(Resources!$A$2:$A$51,'Project Register'!J490)=0),"Resource 2 not in Resources sheet. ","")&amp;IF(AND('Project Register'!L490&lt;&gt;"",COUNTIF(Resources!$A$2:$A$51,'Project Register'!L490)=0),"Resource 3 not in Resources sheet. ","")&amp;IF('Project Register'!O490="","Test Status missing. ","")&amp;IF(AND(ISNUMBER(E490),E490&gt;1),"This task alone needs over 100% per person. ","")&amp;IF(AND('Project Register'!Q490="Deployed in Live",'Project Register'!R490=""),"Release Date blank (import date will be used). ","")))</f>
        <v/>
      </c>
      <c r="G490" s="17" t="str">
        <f aca="false">IF('Project Register'!$A490="","",IF(F490="","OK","Check"))</f>
        <v/>
      </c>
    </row>
    <row r="491" customFormat="false" ht="15" hidden="false" customHeight="false" outlineLevel="0" collapsed="false">
      <c r="A491" s="15" t="str">
        <f aca="false">IF('Project Register'!$A491="","",ROW('Project Register'!A491))</f>
        <v/>
      </c>
      <c r="B491" s="15" t="str">
        <f aca="false">IF('Project Register'!$A491="","",'Project Register'!B491)</f>
        <v/>
      </c>
      <c r="C491" s="15" t="str">
        <f aca="false">IF('Project Register'!$A491="","",IF(OR('Project Register'!E491="",'Project Register'!F491=""),"",IF('Project Register'!F491&lt;'Project Register'!E491,0,NETWORKDAYS.INTL('Project Register'!E491,'Project Register'!F491,"0000110",Holidays_Leave!$A$3:$A$62))))</f>
        <v/>
      </c>
      <c r="D491" s="15" t="str">
        <f aca="false">IF('Project Register'!$A491="","",('Project Register'!H491&lt;&gt;"")+('Project Register'!J491&lt;&gt;"")+('Project Register'!L491&lt;&gt;""))</f>
        <v/>
      </c>
      <c r="E491" s="16" t="str">
        <f aca="false">IF(OR(C491="",D491="",'Project Register'!G491=""),"",IF(OR(C491=0,D491=0),"",'Project Register'!G491/(C491*D491)))</f>
        <v/>
      </c>
      <c r="F491" s="15" t="str">
        <f aca="false">IF('Project Register'!$A491="","",TRIM(IF(OR('Project Register'!E491="",'Project Register'!F491=""),"Missing date. ","")&amp;IF(AND('Project Register'!E491&lt;&gt;"",'Project Register'!F491&lt;&gt;"",'Project Register'!F491&lt;'Project Register'!E491),"End before start. ","")&amp;IF(NOT(ISNUMBER('Project Register'!G491)),"Effort missing. ","")&amp;IF(D491=0,"No resource. ","")&amp;IF(AND('Project Register'!H491&lt;&gt;"",'Project Register'!I491=""),"Role 1 missing. ","")&amp;IF(AND('Project Register'!J491&lt;&gt;"",'Project Register'!K491=""),"Role 2 missing. ","")&amp;IF(AND('Project Register'!L491&lt;&gt;"",'Project Register'!M491=""),"Role 3 missing. ","")&amp;IF(OR(AND('Project Register'!H491&lt;&gt;"",'Project Register'!H491='Project Register'!J491),AND('Project Register'!H491&lt;&gt;"",'Project Register'!H491='Project Register'!L491),AND('Project Register'!J491&lt;&gt;"",'Project Register'!J491='Project Register'!L491)),"Same person listed twice. ","")&amp;IF(AND('Project Register'!H491&lt;&gt;"",COUNTIF(Resources!$A$2:$A$51,'Project Register'!H491)=0),"Resource 1 not in Resources sheet. ","")&amp;IF(AND('Project Register'!J491&lt;&gt;"",COUNTIF(Resources!$A$2:$A$51,'Project Register'!J491)=0),"Resource 2 not in Resources sheet. ","")&amp;IF(AND('Project Register'!L491&lt;&gt;"",COUNTIF(Resources!$A$2:$A$51,'Project Register'!L491)=0),"Resource 3 not in Resources sheet. ","")&amp;IF('Project Register'!O491="","Test Status missing. ","")&amp;IF(AND(ISNUMBER(E491),E491&gt;1),"This task alone needs over 100% per person. ","")&amp;IF(AND('Project Register'!Q491="Deployed in Live",'Project Register'!R491=""),"Release Date blank (import date will be used). ","")))</f>
        <v/>
      </c>
      <c r="G491" s="17" t="str">
        <f aca="false">IF('Project Register'!$A491="","",IF(F491="","OK","Check"))</f>
        <v/>
      </c>
    </row>
    <row r="492" customFormat="false" ht="15" hidden="false" customHeight="false" outlineLevel="0" collapsed="false">
      <c r="A492" s="15" t="str">
        <f aca="false">IF('Project Register'!$A492="","",ROW('Project Register'!A492))</f>
        <v/>
      </c>
      <c r="B492" s="15" t="str">
        <f aca="false">IF('Project Register'!$A492="","",'Project Register'!B492)</f>
        <v/>
      </c>
      <c r="C492" s="15" t="str">
        <f aca="false">IF('Project Register'!$A492="","",IF(OR('Project Register'!E492="",'Project Register'!F492=""),"",IF('Project Register'!F492&lt;'Project Register'!E492,0,NETWORKDAYS.INTL('Project Register'!E492,'Project Register'!F492,"0000110",Holidays_Leave!$A$3:$A$62))))</f>
        <v/>
      </c>
      <c r="D492" s="15" t="str">
        <f aca="false">IF('Project Register'!$A492="","",('Project Register'!H492&lt;&gt;"")+('Project Register'!J492&lt;&gt;"")+('Project Register'!L492&lt;&gt;""))</f>
        <v/>
      </c>
      <c r="E492" s="16" t="str">
        <f aca="false">IF(OR(C492="",D492="",'Project Register'!G492=""),"",IF(OR(C492=0,D492=0),"",'Project Register'!G492/(C492*D492)))</f>
        <v/>
      </c>
      <c r="F492" s="15" t="str">
        <f aca="false">IF('Project Register'!$A492="","",TRIM(IF(OR('Project Register'!E492="",'Project Register'!F492=""),"Missing date. ","")&amp;IF(AND('Project Register'!E492&lt;&gt;"",'Project Register'!F492&lt;&gt;"",'Project Register'!F492&lt;'Project Register'!E492),"End before start. ","")&amp;IF(NOT(ISNUMBER('Project Register'!G492)),"Effort missing. ","")&amp;IF(D492=0,"No resource. ","")&amp;IF(AND('Project Register'!H492&lt;&gt;"",'Project Register'!I492=""),"Role 1 missing. ","")&amp;IF(AND('Project Register'!J492&lt;&gt;"",'Project Register'!K492=""),"Role 2 missing. ","")&amp;IF(AND('Project Register'!L492&lt;&gt;"",'Project Register'!M492=""),"Role 3 missing. ","")&amp;IF(OR(AND('Project Register'!H492&lt;&gt;"",'Project Register'!H492='Project Register'!J492),AND('Project Register'!H492&lt;&gt;"",'Project Register'!H492='Project Register'!L492),AND('Project Register'!J492&lt;&gt;"",'Project Register'!J492='Project Register'!L492)),"Same person listed twice. ","")&amp;IF(AND('Project Register'!H492&lt;&gt;"",COUNTIF(Resources!$A$2:$A$51,'Project Register'!H492)=0),"Resource 1 not in Resources sheet. ","")&amp;IF(AND('Project Register'!J492&lt;&gt;"",COUNTIF(Resources!$A$2:$A$51,'Project Register'!J492)=0),"Resource 2 not in Resources sheet. ","")&amp;IF(AND('Project Register'!L492&lt;&gt;"",COUNTIF(Resources!$A$2:$A$51,'Project Register'!L492)=0),"Resource 3 not in Resources sheet. ","")&amp;IF('Project Register'!O492="","Test Status missing. ","")&amp;IF(AND(ISNUMBER(E492),E492&gt;1),"This task alone needs over 100% per person. ","")&amp;IF(AND('Project Register'!Q492="Deployed in Live",'Project Register'!R492=""),"Release Date blank (import date will be used). ","")))</f>
        <v/>
      </c>
      <c r="G492" s="17" t="str">
        <f aca="false">IF('Project Register'!$A492="","",IF(F492="","OK","Check"))</f>
        <v/>
      </c>
    </row>
    <row r="493" customFormat="false" ht="15" hidden="false" customHeight="false" outlineLevel="0" collapsed="false">
      <c r="A493" s="15" t="str">
        <f aca="false">IF('Project Register'!$A493="","",ROW('Project Register'!A493))</f>
        <v/>
      </c>
      <c r="B493" s="15" t="str">
        <f aca="false">IF('Project Register'!$A493="","",'Project Register'!B493)</f>
        <v/>
      </c>
      <c r="C493" s="15" t="str">
        <f aca="false">IF('Project Register'!$A493="","",IF(OR('Project Register'!E493="",'Project Register'!F493=""),"",IF('Project Register'!F493&lt;'Project Register'!E493,0,NETWORKDAYS.INTL('Project Register'!E493,'Project Register'!F493,"0000110",Holidays_Leave!$A$3:$A$62))))</f>
        <v/>
      </c>
      <c r="D493" s="15" t="str">
        <f aca="false">IF('Project Register'!$A493="","",('Project Register'!H493&lt;&gt;"")+('Project Register'!J493&lt;&gt;"")+('Project Register'!L493&lt;&gt;""))</f>
        <v/>
      </c>
      <c r="E493" s="16" t="str">
        <f aca="false">IF(OR(C493="",D493="",'Project Register'!G493=""),"",IF(OR(C493=0,D493=0),"",'Project Register'!G493/(C493*D493)))</f>
        <v/>
      </c>
      <c r="F493" s="15" t="str">
        <f aca="false">IF('Project Register'!$A493="","",TRIM(IF(OR('Project Register'!E493="",'Project Register'!F493=""),"Missing date. ","")&amp;IF(AND('Project Register'!E493&lt;&gt;"",'Project Register'!F493&lt;&gt;"",'Project Register'!F493&lt;'Project Register'!E493),"End before start. ","")&amp;IF(NOT(ISNUMBER('Project Register'!G493)),"Effort missing. ","")&amp;IF(D493=0,"No resource. ","")&amp;IF(AND('Project Register'!H493&lt;&gt;"",'Project Register'!I493=""),"Role 1 missing. ","")&amp;IF(AND('Project Register'!J493&lt;&gt;"",'Project Register'!K493=""),"Role 2 missing. ","")&amp;IF(AND('Project Register'!L493&lt;&gt;"",'Project Register'!M493=""),"Role 3 missing. ","")&amp;IF(OR(AND('Project Register'!H493&lt;&gt;"",'Project Register'!H493='Project Register'!J493),AND('Project Register'!H493&lt;&gt;"",'Project Register'!H493='Project Register'!L493),AND('Project Register'!J493&lt;&gt;"",'Project Register'!J493='Project Register'!L493)),"Same person listed twice. ","")&amp;IF(AND('Project Register'!H493&lt;&gt;"",COUNTIF(Resources!$A$2:$A$51,'Project Register'!H493)=0),"Resource 1 not in Resources sheet. ","")&amp;IF(AND('Project Register'!J493&lt;&gt;"",COUNTIF(Resources!$A$2:$A$51,'Project Register'!J493)=0),"Resource 2 not in Resources sheet. ","")&amp;IF(AND('Project Register'!L493&lt;&gt;"",COUNTIF(Resources!$A$2:$A$51,'Project Register'!L493)=0),"Resource 3 not in Resources sheet. ","")&amp;IF('Project Register'!O493="","Test Status missing. ","")&amp;IF(AND(ISNUMBER(E493),E493&gt;1),"This task alone needs over 100% per person. ","")&amp;IF(AND('Project Register'!Q493="Deployed in Live",'Project Register'!R493=""),"Release Date blank (import date will be used). ","")))</f>
        <v/>
      </c>
      <c r="G493" s="17" t="str">
        <f aca="false">IF('Project Register'!$A493="","",IF(F493="","OK","Check"))</f>
        <v/>
      </c>
    </row>
    <row r="494" customFormat="false" ht="15" hidden="false" customHeight="false" outlineLevel="0" collapsed="false">
      <c r="A494" s="15" t="str">
        <f aca="false">IF('Project Register'!$A494="","",ROW('Project Register'!A494))</f>
        <v/>
      </c>
      <c r="B494" s="15" t="str">
        <f aca="false">IF('Project Register'!$A494="","",'Project Register'!B494)</f>
        <v/>
      </c>
      <c r="C494" s="15" t="str">
        <f aca="false">IF('Project Register'!$A494="","",IF(OR('Project Register'!E494="",'Project Register'!F494=""),"",IF('Project Register'!F494&lt;'Project Register'!E494,0,NETWORKDAYS.INTL('Project Register'!E494,'Project Register'!F494,"0000110",Holidays_Leave!$A$3:$A$62))))</f>
        <v/>
      </c>
      <c r="D494" s="15" t="str">
        <f aca="false">IF('Project Register'!$A494="","",('Project Register'!H494&lt;&gt;"")+('Project Register'!J494&lt;&gt;"")+('Project Register'!L494&lt;&gt;""))</f>
        <v/>
      </c>
      <c r="E494" s="16" t="str">
        <f aca="false">IF(OR(C494="",D494="",'Project Register'!G494=""),"",IF(OR(C494=0,D494=0),"",'Project Register'!G494/(C494*D494)))</f>
        <v/>
      </c>
      <c r="F494" s="15" t="str">
        <f aca="false">IF('Project Register'!$A494="","",TRIM(IF(OR('Project Register'!E494="",'Project Register'!F494=""),"Missing date. ","")&amp;IF(AND('Project Register'!E494&lt;&gt;"",'Project Register'!F494&lt;&gt;"",'Project Register'!F494&lt;'Project Register'!E494),"End before start. ","")&amp;IF(NOT(ISNUMBER('Project Register'!G494)),"Effort missing. ","")&amp;IF(D494=0,"No resource. ","")&amp;IF(AND('Project Register'!H494&lt;&gt;"",'Project Register'!I494=""),"Role 1 missing. ","")&amp;IF(AND('Project Register'!J494&lt;&gt;"",'Project Register'!K494=""),"Role 2 missing. ","")&amp;IF(AND('Project Register'!L494&lt;&gt;"",'Project Register'!M494=""),"Role 3 missing. ","")&amp;IF(OR(AND('Project Register'!H494&lt;&gt;"",'Project Register'!H494='Project Register'!J494),AND('Project Register'!H494&lt;&gt;"",'Project Register'!H494='Project Register'!L494),AND('Project Register'!J494&lt;&gt;"",'Project Register'!J494='Project Register'!L494)),"Same person listed twice. ","")&amp;IF(AND('Project Register'!H494&lt;&gt;"",COUNTIF(Resources!$A$2:$A$51,'Project Register'!H494)=0),"Resource 1 not in Resources sheet. ","")&amp;IF(AND('Project Register'!J494&lt;&gt;"",COUNTIF(Resources!$A$2:$A$51,'Project Register'!J494)=0),"Resource 2 not in Resources sheet. ","")&amp;IF(AND('Project Register'!L494&lt;&gt;"",COUNTIF(Resources!$A$2:$A$51,'Project Register'!L494)=0),"Resource 3 not in Resources sheet. ","")&amp;IF('Project Register'!O494="","Test Status missing. ","")&amp;IF(AND(ISNUMBER(E494),E494&gt;1),"This task alone needs over 100% per person. ","")&amp;IF(AND('Project Register'!Q494="Deployed in Live",'Project Register'!R494=""),"Release Date blank (import date will be used). ","")))</f>
        <v/>
      </c>
      <c r="G494" s="17" t="str">
        <f aca="false">IF('Project Register'!$A494="","",IF(F494="","OK","Check"))</f>
        <v/>
      </c>
    </row>
    <row r="495" customFormat="false" ht="15" hidden="false" customHeight="false" outlineLevel="0" collapsed="false">
      <c r="A495" s="15" t="str">
        <f aca="false">IF('Project Register'!$A495="","",ROW('Project Register'!A495))</f>
        <v/>
      </c>
      <c r="B495" s="15" t="str">
        <f aca="false">IF('Project Register'!$A495="","",'Project Register'!B495)</f>
        <v/>
      </c>
      <c r="C495" s="15" t="str">
        <f aca="false">IF('Project Register'!$A495="","",IF(OR('Project Register'!E495="",'Project Register'!F495=""),"",IF('Project Register'!F495&lt;'Project Register'!E495,0,NETWORKDAYS.INTL('Project Register'!E495,'Project Register'!F495,"0000110",Holidays_Leave!$A$3:$A$62))))</f>
        <v/>
      </c>
      <c r="D495" s="15" t="str">
        <f aca="false">IF('Project Register'!$A495="","",('Project Register'!H495&lt;&gt;"")+('Project Register'!J495&lt;&gt;"")+('Project Register'!L495&lt;&gt;""))</f>
        <v/>
      </c>
      <c r="E495" s="16" t="str">
        <f aca="false">IF(OR(C495="",D495="",'Project Register'!G495=""),"",IF(OR(C495=0,D495=0),"",'Project Register'!G495/(C495*D495)))</f>
        <v/>
      </c>
      <c r="F495" s="15" t="str">
        <f aca="false">IF('Project Register'!$A495="","",TRIM(IF(OR('Project Register'!E495="",'Project Register'!F495=""),"Missing date. ","")&amp;IF(AND('Project Register'!E495&lt;&gt;"",'Project Register'!F495&lt;&gt;"",'Project Register'!F495&lt;'Project Register'!E495),"End before start. ","")&amp;IF(NOT(ISNUMBER('Project Register'!G495)),"Effort missing. ","")&amp;IF(D495=0,"No resource. ","")&amp;IF(AND('Project Register'!H495&lt;&gt;"",'Project Register'!I495=""),"Role 1 missing. ","")&amp;IF(AND('Project Register'!J495&lt;&gt;"",'Project Register'!K495=""),"Role 2 missing. ","")&amp;IF(AND('Project Register'!L495&lt;&gt;"",'Project Register'!M495=""),"Role 3 missing. ","")&amp;IF(OR(AND('Project Register'!H495&lt;&gt;"",'Project Register'!H495='Project Register'!J495),AND('Project Register'!H495&lt;&gt;"",'Project Register'!H495='Project Register'!L495),AND('Project Register'!J495&lt;&gt;"",'Project Register'!J495='Project Register'!L495)),"Same person listed twice. ","")&amp;IF(AND('Project Register'!H495&lt;&gt;"",COUNTIF(Resources!$A$2:$A$51,'Project Register'!H495)=0),"Resource 1 not in Resources sheet. ","")&amp;IF(AND('Project Register'!J495&lt;&gt;"",COUNTIF(Resources!$A$2:$A$51,'Project Register'!J495)=0),"Resource 2 not in Resources sheet. ","")&amp;IF(AND('Project Register'!L495&lt;&gt;"",COUNTIF(Resources!$A$2:$A$51,'Project Register'!L495)=0),"Resource 3 not in Resources sheet. ","")&amp;IF('Project Register'!O495="","Test Status missing. ","")&amp;IF(AND(ISNUMBER(E495),E495&gt;1),"This task alone needs over 100% per person. ","")&amp;IF(AND('Project Register'!Q495="Deployed in Live",'Project Register'!R495=""),"Release Date blank (import date will be used). ","")))</f>
        <v/>
      </c>
      <c r="G495" s="17" t="str">
        <f aca="false">IF('Project Register'!$A495="","",IF(F495="","OK","Check"))</f>
        <v/>
      </c>
    </row>
    <row r="496" customFormat="false" ht="15" hidden="false" customHeight="false" outlineLevel="0" collapsed="false">
      <c r="A496" s="15" t="str">
        <f aca="false">IF('Project Register'!$A496="","",ROW('Project Register'!A496))</f>
        <v/>
      </c>
      <c r="B496" s="15" t="str">
        <f aca="false">IF('Project Register'!$A496="","",'Project Register'!B496)</f>
        <v/>
      </c>
      <c r="C496" s="15" t="str">
        <f aca="false">IF('Project Register'!$A496="","",IF(OR('Project Register'!E496="",'Project Register'!F496=""),"",IF('Project Register'!F496&lt;'Project Register'!E496,0,NETWORKDAYS.INTL('Project Register'!E496,'Project Register'!F496,"0000110",Holidays_Leave!$A$3:$A$62))))</f>
        <v/>
      </c>
      <c r="D496" s="15" t="str">
        <f aca="false">IF('Project Register'!$A496="","",('Project Register'!H496&lt;&gt;"")+('Project Register'!J496&lt;&gt;"")+('Project Register'!L496&lt;&gt;""))</f>
        <v/>
      </c>
      <c r="E496" s="16" t="str">
        <f aca="false">IF(OR(C496="",D496="",'Project Register'!G496=""),"",IF(OR(C496=0,D496=0),"",'Project Register'!G496/(C496*D496)))</f>
        <v/>
      </c>
      <c r="F496" s="15" t="str">
        <f aca="false">IF('Project Register'!$A496="","",TRIM(IF(OR('Project Register'!E496="",'Project Register'!F496=""),"Missing date. ","")&amp;IF(AND('Project Register'!E496&lt;&gt;"",'Project Register'!F496&lt;&gt;"",'Project Register'!F496&lt;'Project Register'!E496),"End before start. ","")&amp;IF(NOT(ISNUMBER('Project Register'!G496)),"Effort missing. ","")&amp;IF(D496=0,"No resource. ","")&amp;IF(AND('Project Register'!H496&lt;&gt;"",'Project Register'!I496=""),"Role 1 missing. ","")&amp;IF(AND('Project Register'!J496&lt;&gt;"",'Project Register'!K496=""),"Role 2 missing. ","")&amp;IF(AND('Project Register'!L496&lt;&gt;"",'Project Register'!M496=""),"Role 3 missing. ","")&amp;IF(OR(AND('Project Register'!H496&lt;&gt;"",'Project Register'!H496='Project Register'!J496),AND('Project Register'!H496&lt;&gt;"",'Project Register'!H496='Project Register'!L496),AND('Project Register'!J496&lt;&gt;"",'Project Register'!J496='Project Register'!L496)),"Same person listed twice. ","")&amp;IF(AND('Project Register'!H496&lt;&gt;"",COUNTIF(Resources!$A$2:$A$51,'Project Register'!H496)=0),"Resource 1 not in Resources sheet. ","")&amp;IF(AND('Project Register'!J496&lt;&gt;"",COUNTIF(Resources!$A$2:$A$51,'Project Register'!J496)=0),"Resource 2 not in Resources sheet. ","")&amp;IF(AND('Project Register'!L496&lt;&gt;"",COUNTIF(Resources!$A$2:$A$51,'Project Register'!L496)=0),"Resource 3 not in Resources sheet. ","")&amp;IF('Project Register'!O496="","Test Status missing. ","")&amp;IF(AND(ISNUMBER(E496),E496&gt;1),"This task alone needs over 100% per person. ","")&amp;IF(AND('Project Register'!Q496="Deployed in Live",'Project Register'!R496=""),"Release Date blank (import date will be used). ","")))</f>
        <v/>
      </c>
      <c r="G496" s="17" t="str">
        <f aca="false">IF('Project Register'!$A496="","",IF(F496="","OK","Check"))</f>
        <v/>
      </c>
    </row>
    <row r="497" customFormat="false" ht="15" hidden="false" customHeight="false" outlineLevel="0" collapsed="false">
      <c r="A497" s="15" t="str">
        <f aca="false">IF('Project Register'!$A497="","",ROW('Project Register'!A497))</f>
        <v/>
      </c>
      <c r="B497" s="15" t="str">
        <f aca="false">IF('Project Register'!$A497="","",'Project Register'!B497)</f>
        <v/>
      </c>
      <c r="C497" s="15" t="str">
        <f aca="false">IF('Project Register'!$A497="","",IF(OR('Project Register'!E497="",'Project Register'!F497=""),"",IF('Project Register'!F497&lt;'Project Register'!E497,0,NETWORKDAYS.INTL('Project Register'!E497,'Project Register'!F497,"0000110",Holidays_Leave!$A$3:$A$62))))</f>
        <v/>
      </c>
      <c r="D497" s="15" t="str">
        <f aca="false">IF('Project Register'!$A497="","",('Project Register'!H497&lt;&gt;"")+('Project Register'!J497&lt;&gt;"")+('Project Register'!L497&lt;&gt;""))</f>
        <v/>
      </c>
      <c r="E497" s="16" t="str">
        <f aca="false">IF(OR(C497="",D497="",'Project Register'!G497=""),"",IF(OR(C497=0,D497=0),"",'Project Register'!G497/(C497*D497)))</f>
        <v/>
      </c>
      <c r="F497" s="15" t="str">
        <f aca="false">IF('Project Register'!$A497="","",TRIM(IF(OR('Project Register'!E497="",'Project Register'!F497=""),"Missing date. ","")&amp;IF(AND('Project Register'!E497&lt;&gt;"",'Project Register'!F497&lt;&gt;"",'Project Register'!F497&lt;'Project Register'!E497),"End before start. ","")&amp;IF(NOT(ISNUMBER('Project Register'!G497)),"Effort missing. ","")&amp;IF(D497=0,"No resource. ","")&amp;IF(AND('Project Register'!H497&lt;&gt;"",'Project Register'!I497=""),"Role 1 missing. ","")&amp;IF(AND('Project Register'!J497&lt;&gt;"",'Project Register'!K497=""),"Role 2 missing. ","")&amp;IF(AND('Project Register'!L497&lt;&gt;"",'Project Register'!M497=""),"Role 3 missing. ","")&amp;IF(OR(AND('Project Register'!H497&lt;&gt;"",'Project Register'!H497='Project Register'!J497),AND('Project Register'!H497&lt;&gt;"",'Project Register'!H497='Project Register'!L497),AND('Project Register'!J497&lt;&gt;"",'Project Register'!J497='Project Register'!L497)),"Same person listed twice. ","")&amp;IF(AND('Project Register'!H497&lt;&gt;"",COUNTIF(Resources!$A$2:$A$51,'Project Register'!H497)=0),"Resource 1 not in Resources sheet. ","")&amp;IF(AND('Project Register'!J497&lt;&gt;"",COUNTIF(Resources!$A$2:$A$51,'Project Register'!J497)=0),"Resource 2 not in Resources sheet. ","")&amp;IF(AND('Project Register'!L497&lt;&gt;"",COUNTIF(Resources!$A$2:$A$51,'Project Register'!L497)=0),"Resource 3 not in Resources sheet. ","")&amp;IF('Project Register'!O497="","Test Status missing. ","")&amp;IF(AND(ISNUMBER(E497),E497&gt;1),"This task alone needs over 100% per person. ","")&amp;IF(AND('Project Register'!Q497="Deployed in Live",'Project Register'!R497=""),"Release Date blank (import date will be used). ","")))</f>
        <v/>
      </c>
      <c r="G497" s="17" t="str">
        <f aca="false">IF('Project Register'!$A497="","",IF(F497="","OK","Check"))</f>
        <v/>
      </c>
    </row>
    <row r="498" customFormat="false" ht="15" hidden="false" customHeight="false" outlineLevel="0" collapsed="false">
      <c r="A498" s="15" t="str">
        <f aca="false">IF('Project Register'!$A498="","",ROW('Project Register'!A498))</f>
        <v/>
      </c>
      <c r="B498" s="15" t="str">
        <f aca="false">IF('Project Register'!$A498="","",'Project Register'!B498)</f>
        <v/>
      </c>
      <c r="C498" s="15" t="str">
        <f aca="false">IF('Project Register'!$A498="","",IF(OR('Project Register'!E498="",'Project Register'!F498=""),"",IF('Project Register'!F498&lt;'Project Register'!E498,0,NETWORKDAYS.INTL('Project Register'!E498,'Project Register'!F498,"0000110",Holidays_Leave!$A$3:$A$62))))</f>
        <v/>
      </c>
      <c r="D498" s="15" t="str">
        <f aca="false">IF('Project Register'!$A498="","",('Project Register'!H498&lt;&gt;"")+('Project Register'!J498&lt;&gt;"")+('Project Register'!L498&lt;&gt;""))</f>
        <v/>
      </c>
      <c r="E498" s="16" t="str">
        <f aca="false">IF(OR(C498="",D498="",'Project Register'!G498=""),"",IF(OR(C498=0,D498=0),"",'Project Register'!G498/(C498*D498)))</f>
        <v/>
      </c>
      <c r="F498" s="15" t="str">
        <f aca="false">IF('Project Register'!$A498="","",TRIM(IF(OR('Project Register'!E498="",'Project Register'!F498=""),"Missing date. ","")&amp;IF(AND('Project Register'!E498&lt;&gt;"",'Project Register'!F498&lt;&gt;"",'Project Register'!F498&lt;'Project Register'!E498),"End before start. ","")&amp;IF(NOT(ISNUMBER('Project Register'!G498)),"Effort missing. ","")&amp;IF(D498=0,"No resource. ","")&amp;IF(AND('Project Register'!H498&lt;&gt;"",'Project Register'!I498=""),"Role 1 missing. ","")&amp;IF(AND('Project Register'!J498&lt;&gt;"",'Project Register'!K498=""),"Role 2 missing. ","")&amp;IF(AND('Project Register'!L498&lt;&gt;"",'Project Register'!M498=""),"Role 3 missing. ","")&amp;IF(OR(AND('Project Register'!H498&lt;&gt;"",'Project Register'!H498='Project Register'!J498),AND('Project Register'!H498&lt;&gt;"",'Project Register'!H498='Project Register'!L498),AND('Project Register'!J498&lt;&gt;"",'Project Register'!J498='Project Register'!L498)),"Same person listed twice. ","")&amp;IF(AND('Project Register'!H498&lt;&gt;"",COUNTIF(Resources!$A$2:$A$51,'Project Register'!H498)=0),"Resource 1 not in Resources sheet. ","")&amp;IF(AND('Project Register'!J498&lt;&gt;"",COUNTIF(Resources!$A$2:$A$51,'Project Register'!J498)=0),"Resource 2 not in Resources sheet. ","")&amp;IF(AND('Project Register'!L498&lt;&gt;"",COUNTIF(Resources!$A$2:$A$51,'Project Register'!L498)=0),"Resource 3 not in Resources sheet. ","")&amp;IF('Project Register'!O498="","Test Status missing. ","")&amp;IF(AND(ISNUMBER(E498),E498&gt;1),"This task alone needs over 100% per person. ","")&amp;IF(AND('Project Register'!Q498="Deployed in Live",'Project Register'!R498=""),"Release Date blank (import date will be used). ","")))</f>
        <v/>
      </c>
      <c r="G498" s="17" t="str">
        <f aca="false">IF('Project Register'!$A498="","",IF(F498="","OK","Check"))</f>
        <v/>
      </c>
    </row>
    <row r="499" customFormat="false" ht="15" hidden="false" customHeight="false" outlineLevel="0" collapsed="false">
      <c r="A499" s="15" t="str">
        <f aca="false">IF('Project Register'!$A499="","",ROW('Project Register'!A499))</f>
        <v/>
      </c>
      <c r="B499" s="15" t="str">
        <f aca="false">IF('Project Register'!$A499="","",'Project Register'!B499)</f>
        <v/>
      </c>
      <c r="C499" s="15" t="str">
        <f aca="false">IF('Project Register'!$A499="","",IF(OR('Project Register'!E499="",'Project Register'!F499=""),"",IF('Project Register'!F499&lt;'Project Register'!E499,0,NETWORKDAYS.INTL('Project Register'!E499,'Project Register'!F499,"0000110",Holidays_Leave!$A$3:$A$62))))</f>
        <v/>
      </c>
      <c r="D499" s="15" t="str">
        <f aca="false">IF('Project Register'!$A499="","",('Project Register'!H499&lt;&gt;"")+('Project Register'!J499&lt;&gt;"")+('Project Register'!L499&lt;&gt;""))</f>
        <v/>
      </c>
      <c r="E499" s="16" t="str">
        <f aca="false">IF(OR(C499="",D499="",'Project Register'!G499=""),"",IF(OR(C499=0,D499=0),"",'Project Register'!G499/(C499*D499)))</f>
        <v/>
      </c>
      <c r="F499" s="15" t="str">
        <f aca="false">IF('Project Register'!$A499="","",TRIM(IF(OR('Project Register'!E499="",'Project Register'!F499=""),"Missing date. ","")&amp;IF(AND('Project Register'!E499&lt;&gt;"",'Project Register'!F499&lt;&gt;"",'Project Register'!F499&lt;'Project Register'!E499),"End before start. ","")&amp;IF(NOT(ISNUMBER('Project Register'!G499)),"Effort missing. ","")&amp;IF(D499=0,"No resource. ","")&amp;IF(AND('Project Register'!H499&lt;&gt;"",'Project Register'!I499=""),"Role 1 missing. ","")&amp;IF(AND('Project Register'!J499&lt;&gt;"",'Project Register'!K499=""),"Role 2 missing. ","")&amp;IF(AND('Project Register'!L499&lt;&gt;"",'Project Register'!M499=""),"Role 3 missing. ","")&amp;IF(OR(AND('Project Register'!H499&lt;&gt;"",'Project Register'!H499='Project Register'!J499),AND('Project Register'!H499&lt;&gt;"",'Project Register'!H499='Project Register'!L499),AND('Project Register'!J499&lt;&gt;"",'Project Register'!J499='Project Register'!L499)),"Same person listed twice. ","")&amp;IF(AND('Project Register'!H499&lt;&gt;"",COUNTIF(Resources!$A$2:$A$51,'Project Register'!H499)=0),"Resource 1 not in Resources sheet. ","")&amp;IF(AND('Project Register'!J499&lt;&gt;"",COUNTIF(Resources!$A$2:$A$51,'Project Register'!J499)=0),"Resource 2 not in Resources sheet. ","")&amp;IF(AND('Project Register'!L499&lt;&gt;"",COUNTIF(Resources!$A$2:$A$51,'Project Register'!L499)=0),"Resource 3 not in Resources sheet. ","")&amp;IF('Project Register'!O499="","Test Status missing. ","")&amp;IF(AND(ISNUMBER(E499),E499&gt;1),"This task alone needs over 100% per person. ","")&amp;IF(AND('Project Register'!Q499="Deployed in Live",'Project Register'!R499=""),"Release Date blank (import date will be used). ","")))</f>
        <v/>
      </c>
      <c r="G499" s="17" t="str">
        <f aca="false">IF('Project Register'!$A499="","",IF(F499="","OK","Check"))</f>
        <v/>
      </c>
    </row>
    <row r="500" customFormat="false" ht="15" hidden="false" customHeight="false" outlineLevel="0" collapsed="false">
      <c r="A500" s="15" t="str">
        <f aca="false">IF('Project Register'!$A500="","",ROW('Project Register'!A500))</f>
        <v/>
      </c>
      <c r="B500" s="15" t="str">
        <f aca="false">IF('Project Register'!$A500="","",'Project Register'!B500)</f>
        <v/>
      </c>
      <c r="C500" s="15" t="str">
        <f aca="false">IF('Project Register'!$A500="","",IF(OR('Project Register'!E500="",'Project Register'!F500=""),"",IF('Project Register'!F500&lt;'Project Register'!E500,0,NETWORKDAYS.INTL('Project Register'!E500,'Project Register'!F500,"0000110",Holidays_Leave!$A$3:$A$62))))</f>
        <v/>
      </c>
      <c r="D500" s="15" t="str">
        <f aca="false">IF('Project Register'!$A500="","",('Project Register'!H500&lt;&gt;"")+('Project Register'!J500&lt;&gt;"")+('Project Register'!L500&lt;&gt;""))</f>
        <v/>
      </c>
      <c r="E500" s="16" t="str">
        <f aca="false">IF(OR(C500="",D500="",'Project Register'!G500=""),"",IF(OR(C500=0,D500=0),"",'Project Register'!G500/(C500*D500)))</f>
        <v/>
      </c>
      <c r="F500" s="15" t="str">
        <f aca="false">IF('Project Register'!$A500="","",TRIM(IF(OR('Project Register'!E500="",'Project Register'!F500=""),"Missing date. ","")&amp;IF(AND('Project Register'!E500&lt;&gt;"",'Project Register'!F500&lt;&gt;"",'Project Register'!F500&lt;'Project Register'!E500),"End before start. ","")&amp;IF(NOT(ISNUMBER('Project Register'!G500)),"Effort missing. ","")&amp;IF(D500=0,"No resource. ","")&amp;IF(AND('Project Register'!H500&lt;&gt;"",'Project Register'!I500=""),"Role 1 missing. ","")&amp;IF(AND('Project Register'!J500&lt;&gt;"",'Project Register'!K500=""),"Role 2 missing. ","")&amp;IF(AND('Project Register'!L500&lt;&gt;"",'Project Register'!M500=""),"Role 3 missing. ","")&amp;IF(OR(AND('Project Register'!H500&lt;&gt;"",'Project Register'!H500='Project Register'!J500),AND('Project Register'!H500&lt;&gt;"",'Project Register'!H500='Project Register'!L500),AND('Project Register'!J500&lt;&gt;"",'Project Register'!J500='Project Register'!L500)),"Same person listed twice. ","")&amp;IF(AND('Project Register'!H500&lt;&gt;"",COUNTIF(Resources!$A$2:$A$51,'Project Register'!H500)=0),"Resource 1 not in Resources sheet. ","")&amp;IF(AND('Project Register'!J500&lt;&gt;"",COUNTIF(Resources!$A$2:$A$51,'Project Register'!J500)=0),"Resource 2 not in Resources sheet. ","")&amp;IF(AND('Project Register'!L500&lt;&gt;"",COUNTIF(Resources!$A$2:$A$51,'Project Register'!L500)=0),"Resource 3 not in Resources sheet. ","")&amp;IF('Project Register'!O500="","Test Status missing. ","")&amp;IF(AND(ISNUMBER(E500),E500&gt;1),"This task alone needs over 100% per person. ","")&amp;IF(AND('Project Register'!Q500="Deployed in Live",'Project Register'!R500=""),"Release Date blank (import date will be used). ","")))</f>
        <v/>
      </c>
      <c r="G500" s="17" t="str">
        <f aca="false">IF('Project Register'!$A500="","",IF(F500="","OK","Check"))</f>
        <v/>
      </c>
    </row>
  </sheetData>
  <conditionalFormatting sqref="G2:G500">
    <cfRule type="cellIs" priority="2" operator="equal" aboveAverage="0" equalAverage="0" bottom="0" percent="0" rank="0" text="" dxfId="6">
      <formula>"Check"</formula>
    </cfRule>
    <cfRule type="cellIs" priority="3" operator="equal" aboveAverage="0" equalAverage="0" bottom="0" percent="0" rank="0" text="" dxfId="7">
      <formula>"OK"</formula>
    </cfRule>
  </conditionalFormatting>
  <conditionalFormatting sqref="E2:E500">
    <cfRule type="cellIs" priority="4" operator="greaterThan" aboveAverage="0" equalAverage="0" bottom="0" percent="0" rank="0" text="" dxfId="6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8" t="s">
        <v>94</v>
      </c>
      <c r="B1" s="18" t="s">
        <v>95</v>
      </c>
      <c r="C1" s="18" t="s">
        <v>96</v>
      </c>
      <c r="D1" s="18" t="s">
        <v>97</v>
      </c>
      <c r="F1" s="19" t="s">
        <v>98</v>
      </c>
    </row>
    <row r="2" customFormat="false" ht="15" hidden="false" customHeight="false" outlineLevel="0" collapsed="false">
      <c r="A2" s="20" t="s">
        <v>43</v>
      </c>
      <c r="B2" s="20" t="s">
        <v>44</v>
      </c>
      <c r="C2" s="21" t="n">
        <v>1</v>
      </c>
      <c r="D2" s="20" t="s">
        <v>99</v>
      </c>
      <c r="F2" s="15" t="s">
        <v>100</v>
      </c>
    </row>
    <row r="3" customFormat="false" ht="15" hidden="false" customHeight="false" outlineLevel="0" collapsed="false">
      <c r="A3" s="20" t="s">
        <v>52</v>
      </c>
      <c r="B3" s="20" t="s">
        <v>53</v>
      </c>
      <c r="C3" s="21" t="n">
        <v>1</v>
      </c>
      <c r="D3" s="20" t="s">
        <v>99</v>
      </c>
      <c r="F3" s="15" t="s">
        <v>101</v>
      </c>
    </row>
    <row r="4" customFormat="false" ht="15" hidden="false" customHeight="false" outlineLevel="0" collapsed="false">
      <c r="A4" s="20" t="s">
        <v>59</v>
      </c>
      <c r="B4" s="20" t="s">
        <v>60</v>
      </c>
      <c r="C4" s="21" t="n">
        <v>1</v>
      </c>
      <c r="D4" s="20" t="s">
        <v>99</v>
      </c>
    </row>
    <row r="5" customFormat="false" ht="15" hidden="false" customHeight="false" outlineLevel="0" collapsed="false">
      <c r="A5" s="20" t="s">
        <v>70</v>
      </c>
      <c r="B5" s="20" t="s">
        <v>71</v>
      </c>
      <c r="C5" s="21" t="n">
        <v>1</v>
      </c>
      <c r="D5" s="20" t="s">
        <v>99</v>
      </c>
    </row>
    <row r="6" customFormat="false" ht="15" hidden="false" customHeight="false" outlineLevel="0" collapsed="false">
      <c r="C6" s="22"/>
    </row>
    <row r="7" customFormat="false" ht="15" hidden="false" customHeight="false" outlineLevel="0" collapsed="false">
      <c r="C7" s="22"/>
    </row>
    <row r="8" customFormat="false" ht="15" hidden="false" customHeight="false" outlineLevel="0" collapsed="false">
      <c r="C8" s="22"/>
    </row>
    <row r="9" customFormat="false" ht="15" hidden="false" customHeight="false" outlineLevel="0" collapsed="false">
      <c r="C9" s="22"/>
    </row>
    <row r="10" customFormat="false" ht="15" hidden="false" customHeight="false" outlineLevel="0" collapsed="false">
      <c r="C10" s="22"/>
    </row>
    <row r="11" customFormat="false" ht="15" hidden="false" customHeight="false" outlineLevel="0" collapsed="false">
      <c r="C11" s="22"/>
    </row>
    <row r="12" customFormat="false" ht="15" hidden="false" customHeight="false" outlineLevel="0" collapsed="false">
      <c r="C12" s="22"/>
    </row>
    <row r="13" customFormat="false" ht="15" hidden="false" customHeight="false" outlineLevel="0" collapsed="false">
      <c r="C13" s="22"/>
    </row>
    <row r="14" customFormat="false" ht="15" hidden="false" customHeight="false" outlineLevel="0" collapsed="false">
      <c r="C14" s="22"/>
    </row>
    <row r="15" customFormat="false" ht="15" hidden="false" customHeight="false" outlineLevel="0" collapsed="false">
      <c r="C15" s="22"/>
    </row>
    <row r="16" customFormat="false" ht="15" hidden="false" customHeight="false" outlineLevel="0" collapsed="false">
      <c r="C16" s="22"/>
    </row>
    <row r="17" customFormat="false" ht="15" hidden="false" customHeight="false" outlineLevel="0" collapsed="false">
      <c r="C17" s="22"/>
    </row>
    <row r="18" customFormat="false" ht="15" hidden="false" customHeight="false" outlineLevel="0" collapsed="false">
      <c r="C18" s="22"/>
    </row>
    <row r="19" customFormat="false" ht="15" hidden="false" customHeight="false" outlineLevel="0" collapsed="false">
      <c r="C19" s="22"/>
    </row>
    <row r="20" customFormat="false" ht="15" hidden="false" customHeight="false" outlineLevel="0" collapsed="false">
      <c r="C20" s="22"/>
    </row>
    <row r="21" customFormat="false" ht="15" hidden="false" customHeight="false" outlineLevel="0" collapsed="false">
      <c r="C21" s="22"/>
    </row>
    <row r="22" customFormat="false" ht="15" hidden="false" customHeight="false" outlineLevel="0" collapsed="false">
      <c r="C22" s="22"/>
    </row>
    <row r="23" customFormat="false" ht="15" hidden="false" customHeight="false" outlineLevel="0" collapsed="false">
      <c r="C23" s="22"/>
    </row>
    <row r="24" customFormat="false" ht="15" hidden="false" customHeight="false" outlineLevel="0" collapsed="false">
      <c r="C24" s="22"/>
    </row>
    <row r="25" customFormat="false" ht="15" hidden="false" customHeight="false" outlineLevel="0" collapsed="false">
      <c r="C25" s="22"/>
    </row>
    <row r="26" customFormat="false" ht="15" hidden="false" customHeight="false" outlineLevel="0" collapsed="false">
      <c r="C26" s="22"/>
    </row>
    <row r="27" customFormat="false" ht="15" hidden="false" customHeight="false" outlineLevel="0" collapsed="false">
      <c r="C27" s="22"/>
    </row>
    <row r="28" customFormat="false" ht="15" hidden="false" customHeight="false" outlineLevel="0" collapsed="false">
      <c r="C28" s="22"/>
    </row>
    <row r="29" customFormat="false" ht="15" hidden="false" customHeight="false" outlineLevel="0" collapsed="false">
      <c r="C29" s="22"/>
    </row>
    <row r="30" customFormat="false" ht="15" hidden="false" customHeight="false" outlineLevel="0" collapsed="false">
      <c r="C30" s="22"/>
    </row>
    <row r="31" customFormat="false" ht="15" hidden="false" customHeight="false" outlineLevel="0" collapsed="false">
      <c r="C31" s="22"/>
    </row>
    <row r="32" customFormat="false" ht="15" hidden="false" customHeight="false" outlineLevel="0" collapsed="false">
      <c r="C32" s="22"/>
    </row>
    <row r="33" customFormat="false" ht="15" hidden="false" customHeight="false" outlineLevel="0" collapsed="false">
      <c r="C33" s="22"/>
    </row>
    <row r="34" customFormat="false" ht="15" hidden="false" customHeight="false" outlineLevel="0" collapsed="false">
      <c r="C34" s="22"/>
    </row>
    <row r="35" customFormat="false" ht="15" hidden="false" customHeight="false" outlineLevel="0" collapsed="false">
      <c r="C35" s="22"/>
    </row>
    <row r="36" customFormat="false" ht="15" hidden="false" customHeight="false" outlineLevel="0" collapsed="false">
      <c r="C36" s="22"/>
    </row>
    <row r="37" customFormat="false" ht="15" hidden="false" customHeight="false" outlineLevel="0" collapsed="false">
      <c r="C37" s="22"/>
    </row>
    <row r="38" customFormat="false" ht="15" hidden="false" customHeight="false" outlineLevel="0" collapsed="false">
      <c r="C38" s="22"/>
    </row>
    <row r="39" customFormat="false" ht="15" hidden="false" customHeight="false" outlineLevel="0" collapsed="false">
      <c r="C39" s="22"/>
    </row>
    <row r="40" customFormat="false" ht="15" hidden="false" customHeight="false" outlineLevel="0" collapsed="false">
      <c r="C40" s="22"/>
    </row>
    <row r="41" customFormat="false" ht="15" hidden="false" customHeight="false" outlineLevel="0" collapsed="false">
      <c r="C41" s="22"/>
    </row>
    <row r="42" customFormat="false" ht="15" hidden="false" customHeight="false" outlineLevel="0" collapsed="false">
      <c r="C42" s="22"/>
    </row>
    <row r="43" customFormat="false" ht="15" hidden="false" customHeight="false" outlineLevel="0" collapsed="false">
      <c r="C43" s="22"/>
    </row>
    <row r="44" customFormat="false" ht="15" hidden="false" customHeight="false" outlineLevel="0" collapsed="false">
      <c r="C44" s="22"/>
    </row>
    <row r="45" customFormat="false" ht="15" hidden="false" customHeight="false" outlineLevel="0" collapsed="false">
      <c r="C45" s="22"/>
    </row>
    <row r="46" customFormat="false" ht="15" hidden="false" customHeight="false" outlineLevel="0" collapsed="false">
      <c r="C46" s="22"/>
    </row>
    <row r="47" customFormat="false" ht="15" hidden="false" customHeight="false" outlineLevel="0" collapsed="false">
      <c r="C47" s="22"/>
    </row>
    <row r="48" customFormat="false" ht="15" hidden="false" customHeight="false" outlineLevel="0" collapsed="false">
      <c r="C48" s="22"/>
    </row>
    <row r="49" customFormat="false" ht="15" hidden="false" customHeight="false" outlineLevel="0" collapsed="false">
      <c r="C49" s="22"/>
    </row>
    <row r="50" customFormat="false" ht="15" hidden="false" customHeight="false" outlineLevel="0" collapsed="false">
      <c r="C50" s="22"/>
    </row>
    <row r="51" customFormat="false" ht="15" hidden="false" customHeight="false" outlineLevel="0" collapsed="false">
      <c r="C51" s="22"/>
    </row>
  </sheetData>
  <dataValidations count="2">
    <dataValidation allowBlank="false" errorStyle="stop" operator="between" showDropDown="false" showErrorMessage="false" showInputMessage="false" sqref="D2:D51" type="list">
      <formula1>"Yes,No"</formula1>
      <formula2>0</formula2>
    </dataValidation>
    <dataValidation allowBlank="false" errorStyle="stop" operator="between" showDropDown="false" showErrorMessage="false" showInputMessage="false" sqref="B2:B51" type="list">
      <formula1>Lists!$A$2:$A$30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8" t="s">
        <v>21</v>
      </c>
      <c r="B1" s="18" t="s">
        <v>97</v>
      </c>
      <c r="D1" s="15" t="s">
        <v>102</v>
      </c>
    </row>
    <row r="2" customFormat="false" ht="15" hidden="false" customHeight="false" outlineLevel="0" collapsed="false">
      <c r="A2" s="20" t="s">
        <v>39</v>
      </c>
      <c r="B2" s="20" t="s">
        <v>99</v>
      </c>
    </row>
    <row r="3" customFormat="false" ht="15" hidden="false" customHeight="false" outlineLevel="0" collapsed="false">
      <c r="A3" s="20" t="s">
        <v>49</v>
      </c>
      <c r="B3" s="20" t="s">
        <v>99</v>
      </c>
    </row>
    <row r="4" customFormat="false" ht="15" hidden="false" customHeight="false" outlineLevel="0" collapsed="false">
      <c r="A4" s="20" t="s">
        <v>62</v>
      </c>
      <c r="B4" s="20" t="s">
        <v>99</v>
      </c>
    </row>
    <row r="5" customFormat="false" ht="15" hidden="false" customHeight="false" outlineLevel="0" collapsed="false">
      <c r="A5" s="20" t="s">
        <v>73</v>
      </c>
      <c r="B5" s="20" t="s">
        <v>99</v>
      </c>
    </row>
    <row r="6" customFormat="false" ht="15" hidden="false" customHeight="false" outlineLevel="0" collapsed="false">
      <c r="A6" s="20" t="s">
        <v>56</v>
      </c>
      <c r="B6" s="20" t="s">
        <v>99</v>
      </c>
    </row>
    <row r="7" customFormat="false" ht="15" hidden="false" customHeight="false" outlineLevel="0" collapsed="false">
      <c r="A7" s="20" t="s">
        <v>78</v>
      </c>
      <c r="B7" s="20" t="s">
        <v>99</v>
      </c>
    </row>
    <row r="8" customFormat="false" ht="15" hidden="false" customHeight="false" outlineLevel="0" collapsed="false">
      <c r="A8" s="20" t="s">
        <v>81</v>
      </c>
      <c r="B8" s="20" t="s">
        <v>99</v>
      </c>
    </row>
    <row r="9" customFormat="false" ht="15" hidden="false" customHeight="false" outlineLevel="0" collapsed="false">
      <c r="A9" s="20" t="s">
        <v>84</v>
      </c>
      <c r="B9" s="20" t="s">
        <v>99</v>
      </c>
    </row>
    <row r="10" customFormat="false" ht="15" hidden="false" customHeight="false" outlineLevel="0" collapsed="false">
      <c r="A10" s="20" t="s">
        <v>67</v>
      </c>
      <c r="B10" s="2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9" t="s">
        <v>103</v>
      </c>
      <c r="D1" s="19" t="s">
        <v>104</v>
      </c>
      <c r="I1" s="19" t="s">
        <v>105</v>
      </c>
    </row>
    <row r="2" customFormat="false" ht="15" hidden="false" customHeight="false" outlineLevel="0" collapsed="false">
      <c r="A2" s="18" t="s">
        <v>106</v>
      </c>
      <c r="B2" s="18" t="s">
        <v>107</v>
      </c>
      <c r="D2" s="18" t="s">
        <v>108</v>
      </c>
      <c r="E2" s="18" t="s">
        <v>109</v>
      </c>
      <c r="F2" s="18" t="s">
        <v>110</v>
      </c>
      <c r="G2" s="18" t="s">
        <v>111</v>
      </c>
      <c r="I2" s="15" t="s">
        <v>112</v>
      </c>
    </row>
    <row r="3" customFormat="false" ht="15" hidden="false" customHeight="false" outlineLevel="0" collapsed="false">
      <c r="A3" s="23" t="n">
        <v>46372</v>
      </c>
      <c r="B3" s="20" t="s">
        <v>113</v>
      </c>
      <c r="D3" s="20" t="s">
        <v>52</v>
      </c>
      <c r="E3" s="23" t="n">
        <v>46334</v>
      </c>
      <c r="F3" s="23" t="n">
        <v>46338</v>
      </c>
      <c r="G3" s="20" t="s">
        <v>114</v>
      </c>
    </row>
    <row r="4" customFormat="false" ht="15" hidden="false" customHeight="false" outlineLevel="0" collapsed="false">
      <c r="A4" s="12"/>
      <c r="E4" s="12"/>
      <c r="F4" s="12"/>
    </row>
    <row r="5" customFormat="false" ht="15" hidden="false" customHeight="false" outlineLevel="0" collapsed="false">
      <c r="A5" s="12"/>
      <c r="E5" s="12"/>
      <c r="F5" s="12"/>
    </row>
    <row r="6" customFormat="false" ht="15" hidden="false" customHeight="false" outlineLevel="0" collapsed="false">
      <c r="A6" s="12"/>
      <c r="E6" s="12"/>
      <c r="F6" s="12"/>
    </row>
    <row r="7" customFormat="false" ht="15" hidden="false" customHeight="false" outlineLevel="0" collapsed="false">
      <c r="A7" s="12"/>
      <c r="E7" s="12"/>
      <c r="F7" s="12"/>
    </row>
    <row r="8" customFormat="false" ht="15" hidden="false" customHeight="false" outlineLevel="0" collapsed="false">
      <c r="A8" s="12"/>
      <c r="E8" s="12"/>
      <c r="F8" s="12"/>
    </row>
    <row r="9" customFormat="false" ht="15" hidden="false" customHeight="false" outlineLevel="0" collapsed="false">
      <c r="A9" s="12"/>
      <c r="E9" s="12"/>
      <c r="F9" s="12"/>
    </row>
    <row r="10" customFormat="false" ht="15" hidden="false" customHeight="false" outlineLevel="0" collapsed="false">
      <c r="A10" s="12"/>
      <c r="E10" s="12"/>
      <c r="F10" s="12"/>
    </row>
    <row r="11" customFormat="false" ht="15" hidden="false" customHeight="false" outlineLevel="0" collapsed="false">
      <c r="A11" s="12"/>
      <c r="E11" s="12"/>
      <c r="F11" s="12"/>
    </row>
    <row r="12" customFormat="false" ht="15" hidden="false" customHeight="false" outlineLevel="0" collapsed="false">
      <c r="A12" s="12"/>
      <c r="E12" s="12"/>
      <c r="F12" s="12"/>
    </row>
    <row r="13" customFormat="false" ht="15" hidden="false" customHeight="false" outlineLevel="0" collapsed="false">
      <c r="A13" s="12"/>
      <c r="E13" s="12"/>
      <c r="F13" s="12"/>
    </row>
    <row r="14" customFormat="false" ht="15" hidden="false" customHeight="false" outlineLevel="0" collapsed="false">
      <c r="A14" s="12"/>
      <c r="E14" s="12"/>
      <c r="F14" s="12"/>
    </row>
    <row r="15" customFormat="false" ht="15" hidden="false" customHeight="false" outlineLevel="0" collapsed="false">
      <c r="A15" s="12"/>
      <c r="E15" s="12"/>
      <c r="F15" s="12"/>
    </row>
    <row r="16" customFormat="false" ht="15" hidden="false" customHeight="false" outlineLevel="0" collapsed="false">
      <c r="A16" s="12"/>
      <c r="E16" s="12"/>
      <c r="F16" s="12"/>
    </row>
    <row r="17" customFormat="false" ht="15" hidden="false" customHeight="false" outlineLevel="0" collapsed="false">
      <c r="A17" s="12"/>
      <c r="E17" s="12"/>
      <c r="F17" s="12"/>
    </row>
    <row r="18" customFormat="false" ht="15" hidden="false" customHeight="false" outlineLevel="0" collapsed="false">
      <c r="A18" s="12"/>
      <c r="E18" s="12"/>
      <c r="F18" s="12"/>
    </row>
    <row r="19" customFormat="false" ht="15" hidden="false" customHeight="false" outlineLevel="0" collapsed="false">
      <c r="A19" s="12"/>
      <c r="E19" s="12"/>
      <c r="F19" s="12"/>
    </row>
    <row r="20" customFormat="false" ht="15" hidden="false" customHeight="false" outlineLevel="0" collapsed="false">
      <c r="A20" s="12"/>
      <c r="E20" s="12"/>
      <c r="F20" s="12"/>
    </row>
    <row r="21" customFormat="false" ht="15" hidden="false" customHeight="false" outlineLevel="0" collapsed="false">
      <c r="A21" s="12"/>
      <c r="E21" s="12"/>
      <c r="F21" s="12"/>
    </row>
    <row r="22" customFormat="false" ht="15" hidden="false" customHeight="false" outlineLevel="0" collapsed="false">
      <c r="A22" s="12"/>
      <c r="E22" s="12"/>
      <c r="F22" s="12"/>
    </row>
    <row r="23" customFormat="false" ht="15" hidden="false" customHeight="false" outlineLevel="0" collapsed="false">
      <c r="A23" s="12"/>
      <c r="E23" s="12"/>
      <c r="F23" s="12"/>
    </row>
    <row r="24" customFormat="false" ht="15" hidden="false" customHeight="false" outlineLevel="0" collapsed="false">
      <c r="A24" s="12"/>
      <c r="E24" s="12"/>
      <c r="F24" s="12"/>
    </row>
    <row r="25" customFormat="false" ht="15" hidden="false" customHeight="false" outlineLevel="0" collapsed="false">
      <c r="A25" s="12"/>
      <c r="E25" s="12"/>
      <c r="F25" s="12"/>
    </row>
    <row r="26" customFormat="false" ht="15" hidden="false" customHeight="false" outlineLevel="0" collapsed="false">
      <c r="A26" s="12"/>
      <c r="E26" s="12"/>
      <c r="F26" s="12"/>
    </row>
    <row r="27" customFormat="false" ht="15" hidden="false" customHeight="false" outlineLevel="0" collapsed="false">
      <c r="A27" s="12"/>
      <c r="E27" s="12"/>
      <c r="F27" s="12"/>
    </row>
    <row r="28" customFormat="false" ht="15" hidden="false" customHeight="false" outlineLevel="0" collapsed="false">
      <c r="A28" s="12"/>
      <c r="E28" s="12"/>
      <c r="F28" s="12"/>
    </row>
    <row r="29" customFormat="false" ht="15" hidden="false" customHeight="false" outlineLevel="0" collapsed="false">
      <c r="A29" s="12"/>
      <c r="E29" s="12"/>
      <c r="F29" s="12"/>
    </row>
    <row r="30" customFormat="false" ht="15" hidden="false" customHeight="false" outlineLevel="0" collapsed="false">
      <c r="A30" s="12"/>
      <c r="E30" s="12"/>
      <c r="F30" s="12"/>
    </row>
    <row r="31" customFormat="false" ht="15" hidden="false" customHeight="false" outlineLevel="0" collapsed="false">
      <c r="A31" s="12"/>
      <c r="E31" s="12"/>
      <c r="F31" s="12"/>
    </row>
    <row r="32" customFormat="false" ht="15" hidden="false" customHeight="false" outlineLevel="0" collapsed="false">
      <c r="A32" s="12"/>
      <c r="E32" s="12"/>
      <c r="F32" s="12"/>
    </row>
    <row r="33" customFormat="false" ht="15" hidden="false" customHeight="false" outlineLevel="0" collapsed="false">
      <c r="A33" s="12"/>
      <c r="E33" s="12"/>
      <c r="F33" s="12"/>
    </row>
    <row r="34" customFormat="false" ht="15" hidden="false" customHeight="false" outlineLevel="0" collapsed="false">
      <c r="A34" s="12"/>
      <c r="E34" s="12"/>
      <c r="F34" s="12"/>
    </row>
    <row r="35" customFormat="false" ht="15" hidden="false" customHeight="false" outlineLevel="0" collapsed="false">
      <c r="A35" s="12"/>
      <c r="E35" s="12"/>
      <c r="F35" s="12"/>
    </row>
    <row r="36" customFormat="false" ht="15" hidden="false" customHeight="false" outlineLevel="0" collapsed="false">
      <c r="A36" s="12"/>
      <c r="E36" s="12"/>
      <c r="F36" s="12"/>
    </row>
    <row r="37" customFormat="false" ht="15" hidden="false" customHeight="false" outlineLevel="0" collapsed="false">
      <c r="A37" s="12"/>
      <c r="E37" s="12"/>
      <c r="F37" s="12"/>
    </row>
    <row r="38" customFormat="false" ht="15" hidden="false" customHeight="false" outlineLevel="0" collapsed="false">
      <c r="A38" s="12"/>
      <c r="E38" s="12"/>
      <c r="F38" s="12"/>
    </row>
    <row r="39" customFormat="false" ht="15" hidden="false" customHeight="false" outlineLevel="0" collapsed="false">
      <c r="A39" s="12"/>
      <c r="E39" s="12"/>
      <c r="F39" s="12"/>
    </row>
    <row r="40" customFormat="false" ht="15" hidden="false" customHeight="false" outlineLevel="0" collapsed="false">
      <c r="A40" s="12"/>
      <c r="E40" s="12"/>
      <c r="F40" s="12"/>
    </row>
    <row r="41" customFormat="false" ht="15" hidden="false" customHeight="false" outlineLevel="0" collapsed="false">
      <c r="A41" s="12"/>
      <c r="E41" s="12"/>
      <c r="F41" s="12"/>
    </row>
    <row r="42" customFormat="false" ht="15" hidden="false" customHeight="false" outlineLevel="0" collapsed="false">
      <c r="A42" s="12"/>
      <c r="E42" s="12"/>
      <c r="F42" s="12"/>
    </row>
    <row r="43" customFormat="false" ht="15" hidden="false" customHeight="false" outlineLevel="0" collapsed="false">
      <c r="A43" s="12"/>
      <c r="E43" s="12"/>
      <c r="F43" s="12"/>
    </row>
    <row r="44" customFormat="false" ht="15" hidden="false" customHeight="false" outlineLevel="0" collapsed="false">
      <c r="A44" s="12"/>
      <c r="E44" s="12"/>
      <c r="F44" s="12"/>
    </row>
    <row r="45" customFormat="false" ht="15" hidden="false" customHeight="false" outlineLevel="0" collapsed="false">
      <c r="A45" s="12"/>
      <c r="E45" s="12"/>
      <c r="F45" s="12"/>
    </row>
    <row r="46" customFormat="false" ht="15" hidden="false" customHeight="false" outlineLevel="0" collapsed="false">
      <c r="A46" s="12"/>
      <c r="E46" s="12"/>
      <c r="F46" s="12"/>
    </row>
    <row r="47" customFormat="false" ht="15" hidden="false" customHeight="false" outlineLevel="0" collapsed="false">
      <c r="A47" s="12"/>
      <c r="E47" s="12"/>
      <c r="F47" s="12"/>
    </row>
    <row r="48" customFormat="false" ht="15" hidden="false" customHeight="false" outlineLevel="0" collapsed="false">
      <c r="A48" s="12"/>
      <c r="E48" s="12"/>
      <c r="F48" s="12"/>
    </row>
    <row r="49" customFormat="false" ht="15" hidden="false" customHeight="false" outlineLevel="0" collapsed="false">
      <c r="A49" s="12"/>
      <c r="E49" s="12"/>
      <c r="F49" s="12"/>
    </row>
    <row r="50" customFormat="false" ht="15" hidden="false" customHeight="false" outlineLevel="0" collapsed="false">
      <c r="A50" s="12"/>
      <c r="E50" s="12"/>
      <c r="F50" s="12"/>
    </row>
    <row r="51" customFormat="false" ht="15" hidden="false" customHeight="false" outlineLevel="0" collapsed="false">
      <c r="A51" s="12"/>
      <c r="E51" s="12"/>
      <c r="F51" s="12"/>
    </row>
    <row r="52" customFormat="false" ht="15" hidden="false" customHeight="false" outlineLevel="0" collapsed="false">
      <c r="A52" s="12"/>
      <c r="E52" s="12"/>
      <c r="F52" s="12"/>
    </row>
    <row r="53" customFormat="false" ht="15" hidden="false" customHeight="false" outlineLevel="0" collapsed="false">
      <c r="A53" s="12"/>
      <c r="E53" s="12"/>
      <c r="F53" s="12"/>
    </row>
    <row r="54" customFormat="false" ht="15" hidden="false" customHeight="false" outlineLevel="0" collapsed="false">
      <c r="A54" s="12"/>
      <c r="E54" s="12"/>
      <c r="F54" s="12"/>
    </row>
    <row r="55" customFormat="false" ht="15" hidden="false" customHeight="false" outlineLevel="0" collapsed="false">
      <c r="A55" s="12"/>
      <c r="E55" s="12"/>
      <c r="F55" s="12"/>
    </row>
    <row r="56" customFormat="false" ht="15" hidden="false" customHeight="false" outlineLevel="0" collapsed="false">
      <c r="A56" s="12"/>
      <c r="E56" s="12"/>
      <c r="F56" s="12"/>
    </row>
    <row r="57" customFormat="false" ht="15" hidden="false" customHeight="false" outlineLevel="0" collapsed="false">
      <c r="A57" s="12"/>
      <c r="E57" s="12"/>
      <c r="F57" s="12"/>
    </row>
    <row r="58" customFormat="false" ht="15" hidden="false" customHeight="false" outlineLevel="0" collapsed="false">
      <c r="A58" s="12"/>
      <c r="E58" s="12"/>
      <c r="F58" s="12"/>
    </row>
    <row r="59" customFormat="false" ht="15" hidden="false" customHeight="false" outlineLevel="0" collapsed="false">
      <c r="A59" s="12"/>
      <c r="E59" s="12"/>
      <c r="F59" s="12"/>
    </row>
    <row r="60" customFormat="false" ht="15" hidden="false" customHeight="false" outlineLevel="0" collapsed="false">
      <c r="A60" s="12"/>
      <c r="E60" s="12"/>
      <c r="F60" s="12"/>
    </row>
    <row r="61" customFormat="false" ht="15" hidden="false" customHeight="false" outlineLevel="0" collapsed="false">
      <c r="A61" s="12"/>
      <c r="E61" s="12"/>
      <c r="F61" s="12"/>
    </row>
    <row r="62" customFormat="false" ht="15" hidden="false" customHeight="false" outlineLevel="0" collapsed="false">
      <c r="A62" s="12"/>
      <c r="E62" s="12"/>
      <c r="F62" s="12"/>
    </row>
  </sheetData>
  <dataValidations count="2">
    <dataValidation allowBlank="false" errorStyle="stop" operator="between" showDropDown="false" showErrorMessage="false" showInputMessage="false" sqref="D3:D62" type="list">
      <formula1>Resources!$A$2:$A$51</formula1>
      <formula2>0</formula2>
    </dataValidation>
    <dataValidation allowBlank="false" errorStyle="stop" operator="between" showDropDown="false" showErrorMessage="false" showInputMessage="false" sqref="G3:G62" type="list">
      <formula1>"Annual Leave,Sick Leave,Training,Other"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8" t="s">
        <v>115</v>
      </c>
      <c r="C1" s="18" t="s">
        <v>35</v>
      </c>
      <c r="D1" s="18" t="s">
        <v>116</v>
      </c>
      <c r="E1" s="18" t="s">
        <v>105</v>
      </c>
      <c r="F1" s="18" t="s">
        <v>36</v>
      </c>
      <c r="H1" s="18" t="s">
        <v>37</v>
      </c>
      <c r="I1" s="15" t="s">
        <v>117</v>
      </c>
    </row>
    <row r="2" customFormat="false" ht="15" hidden="false" customHeight="false" outlineLevel="0" collapsed="false">
      <c r="A2" s="20" t="s">
        <v>118</v>
      </c>
      <c r="C2" s="20" t="s">
        <v>76</v>
      </c>
      <c r="D2" s="24" t="s">
        <v>99</v>
      </c>
      <c r="E2" s="15" t="s">
        <v>119</v>
      </c>
      <c r="F2" s="20" t="s">
        <v>66</v>
      </c>
      <c r="H2" s="20" t="s">
        <v>120</v>
      </c>
    </row>
    <row r="3" customFormat="false" ht="15" hidden="false" customHeight="false" outlineLevel="0" collapsed="false">
      <c r="A3" s="20" t="s">
        <v>60</v>
      </c>
      <c r="C3" s="20" t="s">
        <v>72</v>
      </c>
      <c r="D3" s="24" t="s">
        <v>99</v>
      </c>
      <c r="E3" s="15"/>
      <c r="F3" s="20" t="s">
        <v>47</v>
      </c>
      <c r="H3" s="20" t="s">
        <v>121</v>
      </c>
    </row>
    <row r="4" customFormat="false" ht="15" hidden="false" customHeight="false" outlineLevel="0" collapsed="false">
      <c r="A4" s="20" t="s">
        <v>53</v>
      </c>
      <c r="C4" s="20" t="s">
        <v>54</v>
      </c>
      <c r="D4" s="24" t="s">
        <v>99</v>
      </c>
      <c r="E4" s="15"/>
      <c r="F4" s="20" t="s">
        <v>55</v>
      </c>
      <c r="H4" s="20" t="s">
        <v>122</v>
      </c>
    </row>
    <row r="5" customFormat="false" ht="15" hidden="false" customHeight="false" outlineLevel="0" collapsed="false">
      <c r="A5" s="20" t="s">
        <v>44</v>
      </c>
      <c r="C5" s="20" t="s">
        <v>123</v>
      </c>
      <c r="D5" s="24" t="s">
        <v>99</v>
      </c>
      <c r="E5" s="15" t="s">
        <v>124</v>
      </c>
      <c r="F5" s="20" t="s">
        <v>77</v>
      </c>
      <c r="H5" s="20" t="s">
        <v>48</v>
      </c>
    </row>
    <row r="6" customFormat="false" ht="15" hidden="false" customHeight="false" outlineLevel="0" collapsed="false">
      <c r="A6" s="20" t="s">
        <v>71</v>
      </c>
      <c r="C6" s="20" t="s">
        <v>65</v>
      </c>
      <c r="D6" s="24" t="s">
        <v>99</v>
      </c>
      <c r="E6" s="15"/>
      <c r="H6" s="20" t="s">
        <v>125</v>
      </c>
    </row>
    <row r="7" customFormat="false" ht="15" hidden="false" customHeight="false" outlineLevel="0" collapsed="false">
      <c r="A7" s="20" t="s">
        <v>126</v>
      </c>
      <c r="C7" s="20" t="s">
        <v>46</v>
      </c>
      <c r="D7" s="24" t="s">
        <v>99</v>
      </c>
      <c r="E7" s="15"/>
      <c r="H7" s="20" t="s">
        <v>127</v>
      </c>
    </row>
    <row r="8" customFormat="false" ht="15" hidden="false" customHeight="false" outlineLevel="0" collapsed="false">
      <c r="C8" s="20" t="s">
        <v>128</v>
      </c>
      <c r="D8" s="24" t="s">
        <v>99</v>
      </c>
      <c r="E8" s="15"/>
      <c r="H8" s="20" t="s">
        <v>88</v>
      </c>
    </row>
    <row r="9" customFormat="false" ht="15" hidden="false" customHeight="false" outlineLevel="0" collapsed="false">
      <c r="C9" s="20" t="s">
        <v>129</v>
      </c>
      <c r="D9" s="24" t="s">
        <v>99</v>
      </c>
      <c r="E9" s="15" t="s">
        <v>130</v>
      </c>
    </row>
    <row r="10" customFormat="false" ht="15" hidden="false" customHeight="false" outlineLevel="0" collapsed="false">
      <c r="C10" s="20" t="s">
        <v>131</v>
      </c>
      <c r="D10" s="24" t="s">
        <v>132</v>
      </c>
      <c r="E10" s="15" t="s">
        <v>133</v>
      </c>
    </row>
    <row r="11" customFormat="false" ht="15" hidden="false" customHeight="false" outlineLevel="0" collapsed="false">
      <c r="C11" s="20" t="s">
        <v>134</v>
      </c>
      <c r="D11" s="24" t="s">
        <v>99</v>
      </c>
      <c r="E11" s="15"/>
    </row>
    <row r="12" customFormat="false" ht="15" hidden="false" customHeight="false" outlineLevel="0" collapsed="false">
      <c r="C12" s="20" t="s">
        <v>61</v>
      </c>
      <c r="D12" s="24" t="s">
        <v>99</v>
      </c>
      <c r="E12" s="15"/>
    </row>
    <row r="13" customFormat="false" ht="15" hidden="false" customHeight="false" outlineLevel="0" collapsed="false">
      <c r="C13" s="20" t="s">
        <v>135</v>
      </c>
      <c r="D13" s="24" t="s">
        <v>99</v>
      </c>
      <c r="E13" s="15"/>
    </row>
    <row r="14" customFormat="false" ht="15" hidden="false" customHeight="false" outlineLevel="0" collapsed="false">
      <c r="C14" s="20" t="s">
        <v>136</v>
      </c>
      <c r="D14" s="24" t="s">
        <v>99</v>
      </c>
      <c r="E14" s="15"/>
    </row>
    <row r="15" customFormat="false" ht="15" hidden="false" customHeight="false" outlineLevel="0" collapsed="false">
      <c r="C15" s="20" t="s">
        <v>137</v>
      </c>
      <c r="D15" s="24" t="s">
        <v>99</v>
      </c>
      <c r="E15" s="15" t="s">
        <v>130</v>
      </c>
    </row>
    <row r="16" customFormat="false" ht="15" hidden="false" customHeight="false" outlineLevel="0" collapsed="false">
      <c r="C16" s="20" t="s">
        <v>138</v>
      </c>
      <c r="D16" s="24" t="s">
        <v>132</v>
      </c>
      <c r="E16" s="15"/>
    </row>
    <row r="17" customFormat="false" ht="15" hidden="false" customHeight="false" outlineLevel="0" collapsed="false">
      <c r="C17" s="20" t="s">
        <v>139</v>
      </c>
      <c r="D17" s="24" t="s">
        <v>132</v>
      </c>
      <c r="E17" s="15"/>
    </row>
    <row r="18" customFormat="false" ht="15" hidden="false" customHeight="false" outlineLevel="0" collapsed="false">
      <c r="C18" s="20" t="s">
        <v>140</v>
      </c>
      <c r="D18" s="24" t="s">
        <v>99</v>
      </c>
      <c r="E18" s="15" t="s">
        <v>141</v>
      </c>
    </row>
    <row r="19" customFormat="false" ht="15" hidden="false" customHeight="false" outlineLevel="0" collapsed="false">
      <c r="C19" s="20" t="s">
        <v>142</v>
      </c>
      <c r="D19" s="24" t="s">
        <v>132</v>
      </c>
      <c r="E19" s="15" t="s">
        <v>143</v>
      </c>
    </row>
    <row r="20" customFormat="false" ht="15" hidden="false" customHeight="false" outlineLevel="0" collapsed="false">
      <c r="C20" s="20" t="s">
        <v>87</v>
      </c>
      <c r="D20" s="24" t="s">
        <v>132</v>
      </c>
      <c r="E20" s="15"/>
    </row>
  </sheetData>
  <dataValidations count="1">
    <dataValidation allowBlank="false" errorStyle="stop" operator="between" showDropDown="false" showErrorMessage="false" showInputMessage="false" sqref="D2:D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2026-10-01T19:42:16Z</dcterms:created>
  <dc:creator>openpyxl</dc:creator>
  <dc:description/>
  <dc:language>en-US</dc:language>
  <cp:lastModifiedBy/>
  <dcterms:modified xsi:type="dcterms:W3CDTF">2026-10-01T19:42:16Z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